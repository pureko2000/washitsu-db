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FC90B1DC-3A6F-48D4-9529-6C2A5FD17A63}" xr6:coauthVersionLast="47" xr6:coauthVersionMax="47" xr10:uidLastSave="{00000000-0000-0000-0000-000000000000}"/>
  <bookViews>
    <workbookView xWindow="-22320" yWindow="2595" windowWidth="16155" windowHeight="13275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E985" i="14"/>
  <c r="F985" i="14" s="1"/>
  <c r="K984" i="14"/>
  <c r="J984" i="14"/>
  <c r="I984" i="14"/>
  <c r="H984" i="14"/>
  <c r="G984" i="14"/>
  <c r="E984" i="14"/>
  <c r="F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E978" i="14"/>
  <c r="F978" i="14" s="1"/>
  <c r="K977" i="14"/>
  <c r="J977" i="14"/>
  <c r="I977" i="14"/>
  <c r="H977" i="14"/>
  <c r="G977" i="14"/>
  <c r="E977" i="14"/>
  <c r="F977" i="14" s="1"/>
  <c r="K976" i="14"/>
  <c r="J976" i="14"/>
  <c r="I976" i="14"/>
  <c r="H976" i="14"/>
  <c r="G976" i="14"/>
  <c r="E976" i="14"/>
  <c r="F976" i="14" s="1"/>
  <c r="K975" i="14"/>
  <c r="J975" i="14"/>
  <c r="I975" i="14"/>
  <c r="H975" i="14"/>
  <c r="G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E968" i="14"/>
  <c r="F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E946" i="14"/>
  <c r="F946" i="14" s="1"/>
  <c r="K945" i="14"/>
  <c r="J945" i="14"/>
  <c r="I945" i="14"/>
  <c r="H945" i="14"/>
  <c r="G945" i="14"/>
  <c r="E945" i="14"/>
  <c r="F945" i="14" s="1"/>
  <c r="K944" i="14"/>
  <c r="J944" i="14"/>
  <c r="I944" i="14"/>
  <c r="H944" i="14"/>
  <c r="G944" i="14"/>
  <c r="E944" i="14"/>
  <c r="F944" i="14" s="1"/>
  <c r="K943" i="14"/>
  <c r="J943" i="14"/>
  <c r="I943" i="14"/>
  <c r="H943" i="14"/>
  <c r="G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E935" i="14"/>
  <c r="C935" i="14" s="1"/>
  <c r="A935" i="14" s="1"/>
  <c r="B935" i="14" s="1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E907" i="14"/>
  <c r="C907" i="14" s="1"/>
  <c r="D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E896" i="14"/>
  <c r="F896" i="14" s="1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K889" i="14"/>
  <c r="J889" i="14"/>
  <c r="I889" i="14"/>
  <c r="H889" i="14"/>
  <c r="G889" i="14"/>
  <c r="E889" i="14"/>
  <c r="F889" i="14" s="1"/>
  <c r="K888" i="14"/>
  <c r="J888" i="14"/>
  <c r="I888" i="14"/>
  <c r="H888" i="14"/>
  <c r="G888" i="14"/>
  <c r="E888" i="14"/>
  <c r="F888" i="14" s="1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E881" i="14"/>
  <c r="F881" i="14" s="1"/>
  <c r="K880" i="14"/>
  <c r="J880" i="14"/>
  <c r="I880" i="14"/>
  <c r="H880" i="14"/>
  <c r="G880" i="14"/>
  <c r="E880" i="14"/>
  <c r="F880" i="14" s="1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E875" i="14"/>
  <c r="F875" i="14" s="1"/>
  <c r="K874" i="14"/>
  <c r="J874" i="14"/>
  <c r="I874" i="14"/>
  <c r="H874" i="14"/>
  <c r="G874" i="14"/>
  <c r="E874" i="14"/>
  <c r="C874" i="14" s="1"/>
  <c r="A874" i="14" s="1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E872" i="14"/>
  <c r="C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 s="1"/>
  <c r="K866" i="14"/>
  <c r="J866" i="14"/>
  <c r="I866" i="14"/>
  <c r="H866" i="14"/>
  <c r="G866" i="14"/>
  <c r="E866" i="14"/>
  <c r="F866" i="14" s="1"/>
  <c r="K865" i="14"/>
  <c r="J865" i="14"/>
  <c r="I865" i="14"/>
  <c r="H865" i="14"/>
  <c r="G865" i="14"/>
  <c r="E865" i="14"/>
  <c r="C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K861" i="14"/>
  <c r="J861" i="14"/>
  <c r="I861" i="14"/>
  <c r="H861" i="14"/>
  <c r="G861" i="14"/>
  <c r="E861" i="14"/>
  <c r="F861" i="14" s="1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K858" i="14"/>
  <c r="J858" i="14"/>
  <c r="I858" i="14"/>
  <c r="H858" i="14"/>
  <c r="G858" i="14"/>
  <c r="E858" i="14"/>
  <c r="F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K852" i="14"/>
  <c r="J852" i="14"/>
  <c r="I852" i="14"/>
  <c r="H852" i="14"/>
  <c r="G852" i="14"/>
  <c r="E852" i="14"/>
  <c r="F852" i="14" s="1"/>
  <c r="K851" i="14"/>
  <c r="J851" i="14"/>
  <c r="I851" i="14"/>
  <c r="H851" i="14"/>
  <c r="G851" i="14"/>
  <c r="E851" i="14"/>
  <c r="C851" i="14" s="1"/>
  <c r="A851" i="14" s="1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E844" i="14"/>
  <c r="F844" i="14" s="1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K821" i="14"/>
  <c r="J821" i="14"/>
  <c r="I821" i="14"/>
  <c r="H821" i="14"/>
  <c r="G821" i="14"/>
  <c r="F821" i="14"/>
  <c r="E821" i="14"/>
  <c r="C821" i="14" s="1"/>
  <c r="A821" i="14" s="1"/>
  <c r="B821" i="14" s="1"/>
  <c r="K820" i="14"/>
  <c r="J820" i="14"/>
  <c r="I820" i="14"/>
  <c r="H820" i="14"/>
  <c r="G820" i="14"/>
  <c r="E820" i="14"/>
  <c r="C820" i="14" s="1"/>
  <c r="K819" i="14"/>
  <c r="J819" i="14"/>
  <c r="I819" i="14"/>
  <c r="H819" i="14"/>
  <c r="G819" i="14"/>
  <c r="E819" i="14"/>
  <c r="C819" i="14" s="1"/>
  <c r="A819" i="14" s="1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E813" i="14"/>
  <c r="F813" i="14" s="1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K809" i="14"/>
  <c r="J809" i="14"/>
  <c r="I809" i="14"/>
  <c r="H809" i="14"/>
  <c r="G809" i="14"/>
  <c r="E809" i="14"/>
  <c r="F809" i="14" s="1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E804" i="14"/>
  <c r="F804" i="14" s="1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E796" i="14"/>
  <c r="F796" i="14" s="1"/>
  <c r="K795" i="14"/>
  <c r="J795" i="14"/>
  <c r="I795" i="14"/>
  <c r="H795" i="14"/>
  <c r="G795" i="14"/>
  <c r="E795" i="14"/>
  <c r="C795" i="14" s="1"/>
  <c r="A795" i="14" s="1"/>
  <c r="B795" i="14" s="1"/>
  <c r="K794" i="14"/>
  <c r="J794" i="14"/>
  <c r="I794" i="14"/>
  <c r="H794" i="14"/>
  <c r="G794" i="14"/>
  <c r="E794" i="14"/>
  <c r="F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E785" i="14"/>
  <c r="F785" i="14" s="1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K769" i="14"/>
  <c r="J769" i="14"/>
  <c r="I769" i="14"/>
  <c r="H769" i="14"/>
  <c r="G769" i="14"/>
  <c r="E769" i="14"/>
  <c r="F769" i="14" s="1"/>
  <c r="K768" i="14"/>
  <c r="J768" i="14"/>
  <c r="I768" i="14"/>
  <c r="H768" i="14"/>
  <c r="G768" i="14"/>
  <c r="E768" i="14"/>
  <c r="K767" i="14"/>
  <c r="J767" i="14"/>
  <c r="I767" i="14"/>
  <c r="H767" i="14"/>
  <c r="G767" i="14"/>
  <c r="E767" i="14"/>
  <c r="C767" i="14" s="1"/>
  <c r="A767" i="14" s="1"/>
  <c r="B767" i="14" s="1"/>
  <c r="K766" i="14"/>
  <c r="J766" i="14"/>
  <c r="I766" i="14"/>
  <c r="H766" i="14"/>
  <c r="G766" i="14"/>
  <c r="E766" i="14"/>
  <c r="F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E753" i="14"/>
  <c r="C753" i="14" s="1"/>
  <c r="A753" i="14" s="1"/>
  <c r="B753" i="14" s="1"/>
  <c r="K752" i="14"/>
  <c r="J752" i="14"/>
  <c r="I752" i="14"/>
  <c r="H752" i="14"/>
  <c r="G752" i="14"/>
  <c r="E752" i="14"/>
  <c r="C752" i="14" s="1"/>
  <c r="D752" i="14" s="1"/>
  <c r="K751" i="14"/>
  <c r="J751" i="14"/>
  <c r="I751" i="14"/>
  <c r="H751" i="14"/>
  <c r="G751" i="14"/>
  <c r="E751" i="14"/>
  <c r="C751" i="14" s="1"/>
  <c r="K750" i="14"/>
  <c r="J750" i="14"/>
  <c r="I750" i="14"/>
  <c r="H750" i="14"/>
  <c r="G750" i="14"/>
  <c r="E750" i="14"/>
  <c r="F750" i="14" s="1"/>
  <c r="K749" i="14"/>
  <c r="J749" i="14"/>
  <c r="I749" i="14"/>
  <c r="H749" i="14"/>
  <c r="G749" i="14"/>
  <c r="E749" i="14"/>
  <c r="F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E739" i="14"/>
  <c r="C739" i="14" s="1"/>
  <c r="A739" i="14" s="1"/>
  <c r="B739" i="14" s="1"/>
  <c r="K738" i="14"/>
  <c r="J738" i="14"/>
  <c r="I738" i="14"/>
  <c r="H738" i="14"/>
  <c r="G738" i="14"/>
  <c r="E738" i="14"/>
  <c r="K737" i="14"/>
  <c r="J737" i="14"/>
  <c r="I737" i="14"/>
  <c r="H737" i="14"/>
  <c r="G737" i="14"/>
  <c r="E737" i="14"/>
  <c r="F737" i="14" s="1"/>
  <c r="K736" i="14"/>
  <c r="J736" i="14"/>
  <c r="I736" i="14"/>
  <c r="H736" i="14"/>
  <c r="G736" i="14"/>
  <c r="E736" i="14"/>
  <c r="F736" i="14" s="1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E729" i="14"/>
  <c r="C729" i="14" s="1"/>
  <c r="K728" i="14"/>
  <c r="J728" i="14"/>
  <c r="I728" i="14"/>
  <c r="H728" i="14"/>
  <c r="G728" i="14"/>
  <c r="E728" i="14"/>
  <c r="F728" i="14" s="1"/>
  <c r="K727" i="14"/>
  <c r="J727" i="14"/>
  <c r="I727" i="14"/>
  <c r="H727" i="14"/>
  <c r="G727" i="14"/>
  <c r="E727" i="14"/>
  <c r="C727" i="14" s="1"/>
  <c r="A727" i="14" s="1"/>
  <c r="B727" i="14" s="1"/>
  <c r="K726" i="14"/>
  <c r="J726" i="14"/>
  <c r="I726" i="14"/>
  <c r="H726" i="14"/>
  <c r="G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K720" i="14"/>
  <c r="J720" i="14"/>
  <c r="I720" i="14"/>
  <c r="H720" i="14"/>
  <c r="G720" i="14"/>
  <c r="E720" i="14"/>
  <c r="C720" i="14" s="1"/>
  <c r="K719" i="14"/>
  <c r="J719" i="14"/>
  <c r="I719" i="14"/>
  <c r="H719" i="14"/>
  <c r="G719" i="14"/>
  <c r="E719" i="14"/>
  <c r="F719" i="14" s="1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K686" i="14"/>
  <c r="J686" i="14"/>
  <c r="I686" i="14"/>
  <c r="H686" i="14"/>
  <c r="G686" i="14"/>
  <c r="E686" i="14"/>
  <c r="F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E680" i="14"/>
  <c r="F680" i="14" s="1"/>
  <c r="K679" i="14"/>
  <c r="J679" i="14"/>
  <c r="I679" i="14"/>
  <c r="H679" i="14"/>
  <c r="G679" i="14"/>
  <c r="E679" i="14"/>
  <c r="F679" i="14" s="1"/>
  <c r="K678" i="14"/>
  <c r="J678" i="14"/>
  <c r="I678" i="14"/>
  <c r="H678" i="14"/>
  <c r="G678" i="14"/>
  <c r="E678" i="14"/>
  <c r="F678" i="14" s="1"/>
  <c r="K677" i="14"/>
  <c r="J677" i="14"/>
  <c r="I677" i="14"/>
  <c r="H677" i="14"/>
  <c r="G677" i="14"/>
  <c r="E677" i="14"/>
  <c r="K676" i="14"/>
  <c r="J676" i="14"/>
  <c r="I676" i="14"/>
  <c r="H676" i="14"/>
  <c r="G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E663" i="14"/>
  <c r="F663" i="14" s="1"/>
  <c r="K662" i="14"/>
  <c r="J662" i="14"/>
  <c r="I662" i="14"/>
  <c r="H662" i="14"/>
  <c r="G662" i="14"/>
  <c r="E662" i="14"/>
  <c r="F662" i="14" s="1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E656" i="14"/>
  <c r="C656" i="14" s="1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E642" i="14"/>
  <c r="F642" i="14" s="1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E614" i="14"/>
  <c r="F614" i="14" s="1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K610" i="14"/>
  <c r="J610" i="14"/>
  <c r="I610" i="14"/>
  <c r="H610" i="14"/>
  <c r="G610" i="14"/>
  <c r="E610" i="14"/>
  <c r="F610" i="14" s="1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E604" i="14"/>
  <c r="C604" i="14" s="1"/>
  <c r="D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E602" i="14"/>
  <c r="C602" i="14" s="1"/>
  <c r="A602" i="14" s="1"/>
  <c r="B602" i="14" s="1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E593" i="14"/>
  <c r="C593" i="14" s="1"/>
  <c r="K592" i="14"/>
  <c r="J592" i="14"/>
  <c r="I592" i="14"/>
  <c r="H592" i="14"/>
  <c r="G592" i="14"/>
  <c r="E592" i="14"/>
  <c r="F592" i="14" s="1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K582" i="14"/>
  <c r="J582" i="14"/>
  <c r="I582" i="14"/>
  <c r="H582" i="14"/>
  <c r="G582" i="14"/>
  <c r="E582" i="14"/>
  <c r="F582" i="14" s="1"/>
  <c r="K581" i="14"/>
  <c r="J581" i="14"/>
  <c r="I581" i="14"/>
  <c r="H581" i="14"/>
  <c r="G581" i="14"/>
  <c r="E581" i="14"/>
  <c r="F581" i="14" s="1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K573" i="14"/>
  <c r="J573" i="14"/>
  <c r="I573" i="14"/>
  <c r="H573" i="14"/>
  <c r="G573" i="14"/>
  <c r="E573" i="14"/>
  <c r="C573" i="14" s="1"/>
  <c r="K572" i="14"/>
  <c r="J572" i="14"/>
  <c r="I572" i="14"/>
  <c r="H572" i="14"/>
  <c r="G572" i="14"/>
  <c r="E572" i="14"/>
  <c r="C572" i="14" s="1"/>
  <c r="A572" i="14" s="1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E569" i="14"/>
  <c r="F569" i="14" s="1"/>
  <c r="C569" i="14"/>
  <c r="D569" i="14" s="1"/>
  <c r="K568" i="14"/>
  <c r="J568" i="14"/>
  <c r="I568" i="14"/>
  <c r="H568" i="14"/>
  <c r="G568" i="14"/>
  <c r="E568" i="14"/>
  <c r="F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E511" i="14"/>
  <c r="F511" i="14" s="1"/>
  <c r="K510" i="14"/>
  <c r="J510" i="14"/>
  <c r="I510" i="14"/>
  <c r="H510" i="14"/>
  <c r="G510" i="14"/>
  <c r="E510" i="14"/>
  <c r="F510" i="14" s="1"/>
  <c r="K509" i="14"/>
  <c r="J509" i="14"/>
  <c r="I509" i="14"/>
  <c r="H509" i="14"/>
  <c r="G509" i="14"/>
  <c r="E509" i="14"/>
  <c r="C509" i="14" s="1"/>
  <c r="D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E503" i="14"/>
  <c r="F503" i="14" s="1"/>
  <c r="K502" i="14"/>
  <c r="J502" i="14"/>
  <c r="I502" i="14"/>
  <c r="H502" i="14"/>
  <c r="G502" i="14"/>
  <c r="E502" i="14"/>
  <c r="F502" i="14" s="1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K499" i="14"/>
  <c r="J499" i="14"/>
  <c r="I499" i="14"/>
  <c r="H499" i="14"/>
  <c r="G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E487" i="14"/>
  <c r="C487" i="14" s="1"/>
  <c r="K486" i="14"/>
  <c r="J486" i="14"/>
  <c r="I486" i="14"/>
  <c r="H486" i="14"/>
  <c r="G486" i="14"/>
  <c r="E486" i="14"/>
  <c r="C486" i="14" s="1"/>
  <c r="K485" i="14"/>
  <c r="J485" i="14"/>
  <c r="I485" i="14"/>
  <c r="H485" i="14"/>
  <c r="G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E480" i="14"/>
  <c r="F480" i="14" s="1"/>
  <c r="C480" i="14"/>
  <c r="K479" i="14"/>
  <c r="J479" i="14"/>
  <c r="I479" i="14"/>
  <c r="H479" i="14"/>
  <c r="G479" i="14"/>
  <c r="E479" i="14"/>
  <c r="F479" i="14" s="1"/>
  <c r="K478" i="14"/>
  <c r="J478" i="14"/>
  <c r="I478" i="14"/>
  <c r="H478" i="14"/>
  <c r="G478" i="14"/>
  <c r="E478" i="14"/>
  <c r="F478" i="14" s="1"/>
  <c r="C478" i="14"/>
  <c r="D478" i="14" s="1"/>
  <c r="K477" i="14"/>
  <c r="J477" i="14"/>
  <c r="I477" i="14"/>
  <c r="H477" i="14"/>
  <c r="G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K470" i="14"/>
  <c r="J470" i="14"/>
  <c r="I470" i="14"/>
  <c r="H470" i="14"/>
  <c r="G470" i="14"/>
  <c r="E470" i="14"/>
  <c r="F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K462" i="14"/>
  <c r="J462" i="14"/>
  <c r="I462" i="14"/>
  <c r="H462" i="14"/>
  <c r="G462" i="14"/>
  <c r="E462" i="14"/>
  <c r="C462" i="14" s="1"/>
  <c r="A462" i="14" s="1"/>
  <c r="B462" i="14" s="1"/>
  <c r="K461" i="14"/>
  <c r="J461" i="14"/>
  <c r="I461" i="14"/>
  <c r="H461" i="14"/>
  <c r="G461" i="14"/>
  <c r="F461" i="14"/>
  <c r="E461" i="14"/>
  <c r="C461" i="14" s="1"/>
  <c r="D461" i="14" s="1"/>
  <c r="K460" i="14"/>
  <c r="J460" i="14"/>
  <c r="I460" i="14"/>
  <c r="H460" i="14"/>
  <c r="G460" i="14"/>
  <c r="E460" i="14"/>
  <c r="F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K445" i="14"/>
  <c r="J445" i="14"/>
  <c r="I445" i="14"/>
  <c r="H445" i="14"/>
  <c r="G445" i="14"/>
  <c r="F445" i="14"/>
  <c r="E445" i="14"/>
  <c r="C445" i="14" s="1"/>
  <c r="A445" i="14" s="1"/>
  <c r="B445" i="14" s="1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K435" i="14"/>
  <c r="J435" i="14"/>
  <c r="I435" i="14"/>
  <c r="H435" i="14"/>
  <c r="G435" i="14"/>
  <c r="E435" i="14"/>
  <c r="C435" i="14" s="1"/>
  <c r="A435" i="14" s="1"/>
  <c r="B435" i="14" s="1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K431" i="14"/>
  <c r="J431" i="14"/>
  <c r="I431" i="14"/>
  <c r="H431" i="14"/>
  <c r="G431" i="14"/>
  <c r="E431" i="14"/>
  <c r="K430" i="14"/>
  <c r="J430" i="14"/>
  <c r="I430" i="14"/>
  <c r="H430" i="14"/>
  <c r="G430" i="14"/>
  <c r="E430" i="14"/>
  <c r="C430" i="14" s="1"/>
  <c r="A430" i="14" s="1"/>
  <c r="B430" i="14" s="1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E407" i="14"/>
  <c r="C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E405" i="14"/>
  <c r="F405" i="14" s="1"/>
  <c r="K404" i="14"/>
  <c r="J404" i="14"/>
  <c r="I404" i="14"/>
  <c r="H404" i="14"/>
  <c r="G404" i="14"/>
  <c r="E404" i="14"/>
  <c r="F404" i="14" s="1"/>
  <c r="K403" i="14"/>
  <c r="J403" i="14"/>
  <c r="I403" i="14"/>
  <c r="H403" i="14"/>
  <c r="G403" i="14"/>
  <c r="E403" i="14"/>
  <c r="C403" i="14" s="1"/>
  <c r="A403" i="14" s="1"/>
  <c r="B403" i="14" s="1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K400" i="14"/>
  <c r="J400" i="14"/>
  <c r="I400" i="14"/>
  <c r="H400" i="14"/>
  <c r="G400" i="14"/>
  <c r="E400" i="14"/>
  <c r="F400" i="14" s="1"/>
  <c r="K399" i="14"/>
  <c r="J399" i="14"/>
  <c r="I399" i="14"/>
  <c r="H399" i="14"/>
  <c r="G399" i="14"/>
  <c r="E399" i="14"/>
  <c r="F399" i="14" s="1"/>
  <c r="K398" i="14"/>
  <c r="J398" i="14"/>
  <c r="I398" i="14"/>
  <c r="H398" i="14"/>
  <c r="G398" i="14"/>
  <c r="E398" i="14"/>
  <c r="F398" i="14" s="1"/>
  <c r="K397" i="14"/>
  <c r="J397" i="14"/>
  <c r="I397" i="14"/>
  <c r="H397" i="14"/>
  <c r="G397" i="14"/>
  <c r="E397" i="14"/>
  <c r="C397" i="14" s="1"/>
  <c r="A397" i="14" s="1"/>
  <c r="B397" i="14" s="1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K388" i="14"/>
  <c r="J388" i="14"/>
  <c r="I388" i="14"/>
  <c r="H388" i="14"/>
  <c r="G388" i="14"/>
  <c r="E388" i="14"/>
  <c r="C388" i="14" s="1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E381" i="14"/>
  <c r="F381" i="14" s="1"/>
  <c r="K380" i="14"/>
  <c r="J380" i="14"/>
  <c r="I380" i="14"/>
  <c r="H380" i="14"/>
  <c r="G380" i="14"/>
  <c r="E380" i="14"/>
  <c r="F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E375" i="14"/>
  <c r="F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E367" i="14"/>
  <c r="C367" i="14" s="1"/>
  <c r="K366" i="14"/>
  <c r="J366" i="14"/>
  <c r="I366" i="14"/>
  <c r="H366" i="14"/>
  <c r="G366" i="14"/>
  <c r="E366" i="14"/>
  <c r="K365" i="14"/>
  <c r="J365" i="14"/>
  <c r="I365" i="14"/>
  <c r="H365" i="14"/>
  <c r="G365" i="14"/>
  <c r="E365" i="14"/>
  <c r="F365" i="14" s="1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E359" i="14"/>
  <c r="F359" i="14" s="1"/>
  <c r="C359" i="14"/>
  <c r="D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E357" i="14"/>
  <c r="C357" i="14" s="1"/>
  <c r="D357" i="14" s="1"/>
  <c r="K356" i="14"/>
  <c r="J356" i="14"/>
  <c r="I356" i="14"/>
  <c r="H356" i="14"/>
  <c r="G356" i="14"/>
  <c r="E356" i="14"/>
  <c r="F356" i="14" s="1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E349" i="14"/>
  <c r="F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E342" i="14"/>
  <c r="C342" i="14" s="1"/>
  <c r="K341" i="14"/>
  <c r="J341" i="14"/>
  <c r="I341" i="14"/>
  <c r="H341" i="14"/>
  <c r="G341" i="14"/>
  <c r="F341" i="14"/>
  <c r="E341" i="14"/>
  <c r="C341" i="14" s="1"/>
  <c r="K340" i="14"/>
  <c r="J340" i="14"/>
  <c r="I340" i="14"/>
  <c r="H340" i="14"/>
  <c r="G340" i="14"/>
  <c r="E340" i="14"/>
  <c r="F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E336" i="14"/>
  <c r="C336" i="14" s="1"/>
  <c r="K335" i="14"/>
  <c r="J335" i="14"/>
  <c r="I335" i="14"/>
  <c r="H335" i="14"/>
  <c r="G335" i="14"/>
  <c r="E335" i="14"/>
  <c r="F335" i="14" s="1"/>
  <c r="K334" i="14"/>
  <c r="J334" i="14"/>
  <c r="I334" i="14"/>
  <c r="H334" i="14"/>
  <c r="G334" i="14"/>
  <c r="E334" i="14"/>
  <c r="C334" i="14" s="1"/>
  <c r="K333" i="14"/>
  <c r="J333" i="14"/>
  <c r="I333" i="14"/>
  <c r="H333" i="14"/>
  <c r="G333" i="14"/>
  <c r="E333" i="14"/>
  <c r="C333" i="14" s="1"/>
  <c r="D333" i="14" s="1"/>
  <c r="K332" i="14"/>
  <c r="J332" i="14"/>
  <c r="I332" i="14"/>
  <c r="H332" i="14"/>
  <c r="G332" i="14"/>
  <c r="E332" i="14"/>
  <c r="F332" i="14" s="1"/>
  <c r="C332" i="14"/>
  <c r="D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E326" i="14"/>
  <c r="F326" i="14" s="1"/>
  <c r="K325" i="14"/>
  <c r="J325" i="14"/>
  <c r="I325" i="14"/>
  <c r="H325" i="14"/>
  <c r="G325" i="14"/>
  <c r="E325" i="14"/>
  <c r="F325" i="14" s="1"/>
  <c r="C325" i="14"/>
  <c r="D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K313" i="14"/>
  <c r="J313" i="14"/>
  <c r="I313" i="14"/>
  <c r="H313" i="14"/>
  <c r="G313" i="14"/>
  <c r="E313" i="14"/>
  <c r="F313" i="14" s="1"/>
  <c r="K312" i="14"/>
  <c r="J312" i="14"/>
  <c r="I312" i="14"/>
  <c r="H312" i="14"/>
  <c r="G312" i="14"/>
  <c r="E312" i="14"/>
  <c r="F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K304" i="14"/>
  <c r="J304" i="14"/>
  <c r="I304" i="14"/>
  <c r="H304" i="14"/>
  <c r="G304" i="14"/>
  <c r="E304" i="14"/>
  <c r="K303" i="14"/>
  <c r="J303" i="14"/>
  <c r="I303" i="14"/>
  <c r="H303" i="14"/>
  <c r="G303" i="14"/>
  <c r="E303" i="14"/>
  <c r="C303" i="14" s="1"/>
  <c r="A303" i="14" s="1"/>
  <c r="B303" i="14" s="1"/>
  <c r="K302" i="14"/>
  <c r="J302" i="14"/>
  <c r="I302" i="14"/>
  <c r="H302" i="14"/>
  <c r="G302" i="14"/>
  <c r="E302" i="14"/>
  <c r="K301" i="14"/>
  <c r="J301" i="14"/>
  <c r="I301" i="14"/>
  <c r="H301" i="14"/>
  <c r="G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E257" i="14"/>
  <c r="C257" i="14" s="1"/>
  <c r="D257" i="14" s="1"/>
  <c r="K256" i="14"/>
  <c r="J256" i="14"/>
  <c r="I256" i="14"/>
  <c r="H256" i="14"/>
  <c r="G256" i="14"/>
  <c r="E256" i="14"/>
  <c r="F256" i="14" s="1"/>
  <c r="K255" i="14"/>
  <c r="J255" i="14"/>
  <c r="I255" i="14"/>
  <c r="H255" i="14"/>
  <c r="G255" i="14"/>
  <c r="E255" i="14"/>
  <c r="C255" i="14" s="1"/>
  <c r="K254" i="14"/>
  <c r="J254" i="14"/>
  <c r="I254" i="14"/>
  <c r="H254" i="14"/>
  <c r="G254" i="14"/>
  <c r="E254" i="14"/>
  <c r="F254" i="14" s="1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E239" i="14"/>
  <c r="C239" i="14" s="1"/>
  <c r="K238" i="14"/>
  <c r="J238" i="14"/>
  <c r="I238" i="14"/>
  <c r="H238" i="14"/>
  <c r="G238" i="14"/>
  <c r="E238" i="14"/>
  <c r="F238" i="14" s="1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E223" i="14"/>
  <c r="C223" i="14" s="1"/>
  <c r="A223" i="14" s="1"/>
  <c r="B223" i="14" s="1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K213" i="14"/>
  <c r="J213" i="14"/>
  <c r="I213" i="14"/>
  <c r="H213" i="14"/>
  <c r="G213" i="14"/>
  <c r="E213" i="14"/>
  <c r="C213" i="14" s="1"/>
  <c r="A213" i="14" s="1"/>
  <c r="B213" i="14" s="1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K193" i="14"/>
  <c r="J193" i="14"/>
  <c r="I193" i="14"/>
  <c r="H193" i="14"/>
  <c r="G193" i="14"/>
  <c r="E193" i="14"/>
  <c r="F193" i="14" s="1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E185" i="14"/>
  <c r="C185" i="14" s="1"/>
  <c r="K184" i="14"/>
  <c r="J184" i="14"/>
  <c r="I184" i="14"/>
  <c r="H184" i="14"/>
  <c r="G184" i="14"/>
  <c r="E184" i="14"/>
  <c r="C184" i="14" s="1"/>
  <c r="K183" i="14"/>
  <c r="J183" i="14"/>
  <c r="I183" i="14"/>
  <c r="H183" i="14"/>
  <c r="G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E170" i="14"/>
  <c r="C170" i="14" s="1"/>
  <c r="K169" i="14"/>
  <c r="J169" i="14"/>
  <c r="I169" i="14"/>
  <c r="H169" i="14"/>
  <c r="G169" i="14"/>
  <c r="E169" i="14"/>
  <c r="C169" i="14" s="1"/>
  <c r="D169" i="14" s="1"/>
  <c r="K168" i="14"/>
  <c r="J168" i="14"/>
  <c r="I168" i="14"/>
  <c r="H168" i="14"/>
  <c r="G168" i="14"/>
  <c r="E168" i="14"/>
  <c r="C168" i="14" s="1"/>
  <c r="K167" i="14"/>
  <c r="J167" i="14"/>
  <c r="I167" i="14"/>
  <c r="H167" i="14"/>
  <c r="G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 s="1"/>
  <c r="D161" i="14" s="1"/>
  <c r="K160" i="14"/>
  <c r="J160" i="14"/>
  <c r="I160" i="14"/>
  <c r="H160" i="14"/>
  <c r="G160" i="14"/>
  <c r="E160" i="14"/>
  <c r="F160" i="14" s="1"/>
  <c r="K159" i="14"/>
  <c r="J159" i="14"/>
  <c r="I159" i="14"/>
  <c r="H159" i="14"/>
  <c r="G159" i="14"/>
  <c r="E159" i="14"/>
  <c r="C159" i="14" s="1"/>
  <c r="A159" i="14" s="1"/>
  <c r="B159" i="14" s="1"/>
  <c r="K158" i="14"/>
  <c r="J158" i="14"/>
  <c r="I158" i="14"/>
  <c r="H158" i="14"/>
  <c r="G158" i="14"/>
  <c r="E158" i="14"/>
  <c r="F158" i="14" s="1"/>
  <c r="K157" i="14"/>
  <c r="J157" i="14"/>
  <c r="I157" i="14"/>
  <c r="H157" i="14"/>
  <c r="G157" i="14"/>
  <c r="E157" i="14"/>
  <c r="C157" i="14" s="1"/>
  <c r="A157" i="14" s="1"/>
  <c r="B157" i="14" s="1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E121" i="14"/>
  <c r="C121" i="14" s="1"/>
  <c r="K120" i="14"/>
  <c r="J120" i="14"/>
  <c r="I120" i="14"/>
  <c r="H120" i="14"/>
  <c r="G120" i="14"/>
  <c r="E120" i="14"/>
  <c r="F120" i="14" s="1"/>
  <c r="C120" i="14"/>
  <c r="A120" i="14" s="1"/>
  <c r="B120" i="14" s="1"/>
  <c r="K119" i="14"/>
  <c r="J119" i="14"/>
  <c r="I119" i="14"/>
  <c r="H119" i="14"/>
  <c r="G119" i="14"/>
  <c r="E119" i="14"/>
  <c r="C119" i="14" s="1"/>
  <c r="D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 s="1"/>
  <c r="K110" i="14"/>
  <c r="J110" i="14"/>
  <c r="I110" i="14"/>
  <c r="H110" i="14"/>
  <c r="G110" i="14"/>
  <c r="E110" i="14"/>
  <c r="F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K104" i="14"/>
  <c r="J104" i="14"/>
  <c r="I104" i="14"/>
  <c r="H104" i="14"/>
  <c r="G104" i="14"/>
  <c r="E104" i="14"/>
  <c r="F104" i="14" s="1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E88" i="14"/>
  <c r="F88" i="14" s="1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E85" i="14"/>
  <c r="F85" i="14" s="1"/>
  <c r="C85" i="14"/>
  <c r="D85" i="14" s="1"/>
  <c r="K84" i="14"/>
  <c r="J84" i="14"/>
  <c r="I84" i="14"/>
  <c r="H84" i="14"/>
  <c r="G84" i="14"/>
  <c r="E84" i="14"/>
  <c r="C84" i="14" s="1"/>
  <c r="A84" i="14" s="1"/>
  <c r="B84" i="14" s="1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K79" i="14"/>
  <c r="J79" i="14"/>
  <c r="I79" i="14"/>
  <c r="H79" i="14"/>
  <c r="G79" i="14"/>
  <c r="E79" i="14"/>
  <c r="F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K71" i="14"/>
  <c r="J71" i="14"/>
  <c r="I71" i="14"/>
  <c r="H71" i="14"/>
  <c r="G71" i="14"/>
  <c r="E71" i="14"/>
  <c r="F71" i="14" s="1"/>
  <c r="K70" i="14"/>
  <c r="J70" i="14"/>
  <c r="I70" i="14"/>
  <c r="H70" i="14"/>
  <c r="G70" i="14"/>
  <c r="E70" i="14"/>
  <c r="F70" i="14" s="1"/>
  <c r="C70" i="14"/>
  <c r="D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E40" i="14"/>
  <c r="C40" i="14" s="1"/>
  <c r="D40" i="14" s="1"/>
  <c r="K39" i="14"/>
  <c r="J39" i="14"/>
  <c r="I39" i="14"/>
  <c r="H39" i="14"/>
  <c r="G39" i="14"/>
  <c r="E39" i="14"/>
  <c r="F39" i="14" s="1"/>
  <c r="K38" i="14"/>
  <c r="J38" i="14"/>
  <c r="I38" i="14"/>
  <c r="H38" i="14"/>
  <c r="G38" i="14"/>
  <c r="E38" i="14"/>
  <c r="F38" i="14" s="1"/>
  <c r="C38" i="14"/>
  <c r="D38" i="14" s="1"/>
  <c r="K37" i="14"/>
  <c r="J37" i="14"/>
  <c r="I37" i="14"/>
  <c r="H37" i="14"/>
  <c r="G37" i="14"/>
  <c r="E37" i="14"/>
  <c r="F37" i="14" s="1"/>
  <c r="C37" i="14"/>
  <c r="D37" i="14" s="1"/>
  <c r="K36" i="14"/>
  <c r="J36" i="14"/>
  <c r="I36" i="14"/>
  <c r="H36" i="14"/>
  <c r="G36" i="14"/>
  <c r="E36" i="14"/>
  <c r="C36" i="14" s="1"/>
  <c r="A36" i="14" s="1"/>
  <c r="B36" i="14" s="1"/>
  <c r="D36" i="14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E31" i="14"/>
  <c r="F31" i="14" s="1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K21" i="14"/>
  <c r="J21" i="14"/>
  <c r="I21" i="14"/>
  <c r="H21" i="14"/>
  <c r="G21" i="14"/>
  <c r="E21" i="14"/>
  <c r="C21" i="14" s="1"/>
  <c r="D21" i="14" s="1"/>
  <c r="K20" i="14"/>
  <c r="J20" i="14"/>
  <c r="I20" i="14"/>
  <c r="H20" i="14"/>
  <c r="G20" i="14"/>
  <c r="E20" i="14"/>
  <c r="C20" i="14" s="1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E13" i="14"/>
  <c r="C13" i="14" s="1"/>
  <c r="A13" i="14" s="1"/>
  <c r="B13" i="14" s="1"/>
  <c r="K12" i="14"/>
  <c r="J12" i="14"/>
  <c r="I12" i="14"/>
  <c r="H12" i="14"/>
  <c r="G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C852" i="14" l="1"/>
  <c r="C861" i="14"/>
  <c r="C862" i="14"/>
  <c r="C888" i="14"/>
  <c r="C889" i="14"/>
  <c r="A28" i="14"/>
  <c r="B28" i="14" s="1"/>
  <c r="C39" i="14"/>
  <c r="A39" i="14" s="1"/>
  <c r="B39" i="14" s="1"/>
  <c r="C65" i="14"/>
  <c r="C79" i="14"/>
  <c r="D79" i="14" s="1"/>
  <c r="D84" i="14"/>
  <c r="A119" i="14"/>
  <c r="B119" i="14" s="1"/>
  <c r="F169" i="14"/>
  <c r="F183" i="14"/>
  <c r="F221" i="14"/>
  <c r="F333" i="14"/>
  <c r="F367" i="14"/>
  <c r="F388" i="14"/>
  <c r="F427" i="14"/>
  <c r="F656" i="14"/>
  <c r="F697" i="14"/>
  <c r="F711" i="14"/>
  <c r="F720" i="14"/>
  <c r="D159" i="14"/>
  <c r="F342" i="14"/>
  <c r="C365" i="14"/>
  <c r="C375" i="14"/>
  <c r="D375" i="14" s="1"/>
  <c r="C380" i="14"/>
  <c r="A380" i="14" s="1"/>
  <c r="B380" i="14" s="1"/>
  <c r="C381" i="14"/>
  <c r="D435" i="14"/>
  <c r="F462" i="14"/>
  <c r="C470" i="14"/>
  <c r="A470" i="14" s="1"/>
  <c r="B470" i="14" s="1"/>
  <c r="C479" i="14"/>
  <c r="D479" i="14" s="1"/>
  <c r="C503" i="14"/>
  <c r="C559" i="14"/>
  <c r="A559" i="14" s="1"/>
  <c r="B559" i="14" s="1"/>
  <c r="C577" i="14"/>
  <c r="C611" i="14"/>
  <c r="A611" i="14" s="1"/>
  <c r="B611" i="14" s="1"/>
  <c r="C635" i="14"/>
  <c r="F729" i="14"/>
  <c r="F753" i="14"/>
  <c r="F820" i="14"/>
  <c r="F851" i="14"/>
  <c r="C158" i="14"/>
  <c r="C177" i="14"/>
  <c r="D177" i="14" s="1"/>
  <c r="C737" i="14"/>
  <c r="A737" i="14" s="1"/>
  <c r="B737" i="14" s="1"/>
  <c r="F752" i="14"/>
  <c r="C769" i="14"/>
  <c r="C770" i="14"/>
  <c r="F819" i="14"/>
  <c r="D874" i="14"/>
  <c r="C875" i="14"/>
  <c r="D875" i="14" s="1"/>
  <c r="C880" i="14"/>
  <c r="C881" i="14"/>
  <c r="A881" i="14" s="1"/>
  <c r="B881" i="14" s="1"/>
  <c r="C955" i="14"/>
  <c r="C968" i="14"/>
  <c r="A968" i="14" s="1"/>
  <c r="B968" i="14" s="1"/>
  <c r="F407" i="14"/>
  <c r="F485" i="14"/>
  <c r="F652" i="14"/>
  <c r="F13" i="14"/>
  <c r="F336" i="14"/>
  <c r="C25" i="14"/>
  <c r="C104" i="14"/>
  <c r="F135" i="14"/>
  <c r="C518" i="14"/>
  <c r="D518" i="14" s="1"/>
  <c r="C614" i="14"/>
  <c r="C619" i="14"/>
  <c r="D619" i="14" s="1"/>
  <c r="C699" i="14"/>
  <c r="D699" i="14" s="1"/>
  <c r="C749" i="14"/>
  <c r="D749" i="14" s="1"/>
  <c r="C750" i="14"/>
  <c r="D795" i="14"/>
  <c r="C796" i="14"/>
  <c r="C858" i="14"/>
  <c r="A858" i="14" s="1"/>
  <c r="B858" i="14" s="1"/>
  <c r="F874" i="14"/>
  <c r="C896" i="14"/>
  <c r="C916" i="14"/>
  <c r="F948" i="14"/>
  <c r="C49" i="14"/>
  <c r="A54" i="14"/>
  <c r="B54" i="14" s="1"/>
  <c r="A60" i="14"/>
  <c r="B60" i="14" s="1"/>
  <c r="C142" i="14"/>
  <c r="A142" i="14" s="1"/>
  <c r="B142" i="14" s="1"/>
  <c r="C254" i="14"/>
  <c r="F357" i="14"/>
  <c r="C372" i="14"/>
  <c r="D372" i="14" s="1"/>
  <c r="F384" i="14"/>
  <c r="C432" i="14"/>
  <c r="D432" i="14" s="1"/>
  <c r="F531" i="14"/>
  <c r="C608" i="14"/>
  <c r="C645" i="14"/>
  <c r="D645" i="14" s="1"/>
  <c r="C721" i="14"/>
  <c r="F726" i="14"/>
  <c r="F731" i="14"/>
  <c r="F795" i="14"/>
  <c r="C816" i="14"/>
  <c r="D816" i="14" s="1"/>
  <c r="A867" i="14"/>
  <c r="B867" i="14" s="1"/>
  <c r="F907" i="14"/>
  <c r="D407" i="14"/>
  <c r="A407" i="14"/>
  <c r="B407" i="14" s="1"/>
  <c r="D872" i="14"/>
  <c r="A872" i="14"/>
  <c r="B872" i="14" s="1"/>
  <c r="F170" i="14"/>
  <c r="D175" i="14"/>
  <c r="F191" i="14"/>
  <c r="F217" i="14"/>
  <c r="C256" i="14"/>
  <c r="F257" i="14"/>
  <c r="F285" i="14"/>
  <c r="C326" i="14"/>
  <c r="A326" i="14" s="1"/>
  <c r="B326" i="14" s="1"/>
  <c r="C349" i="14"/>
  <c r="D349" i="14" s="1"/>
  <c r="D397" i="14"/>
  <c r="C398" i="14"/>
  <c r="C399" i="14"/>
  <c r="D399" i="14" s="1"/>
  <c r="C400" i="14"/>
  <c r="C401" i="14"/>
  <c r="A401" i="14" s="1"/>
  <c r="B401" i="14" s="1"/>
  <c r="F690" i="14"/>
  <c r="C728" i="14"/>
  <c r="C744" i="14"/>
  <c r="C760" i="14"/>
  <c r="D760" i="14" s="1"/>
  <c r="C794" i="14"/>
  <c r="A794" i="14" s="1"/>
  <c r="B794" i="14" s="1"/>
  <c r="F801" i="14"/>
  <c r="C853" i="14"/>
  <c r="F865" i="14"/>
  <c r="F872" i="14"/>
  <c r="C885" i="14"/>
  <c r="C914" i="14"/>
  <c r="F935" i="14"/>
  <c r="C944" i="14"/>
  <c r="D944" i="14" s="1"/>
  <c r="C945" i="14"/>
  <c r="A945" i="14" s="1"/>
  <c r="B945" i="14" s="1"/>
  <c r="C946" i="14"/>
  <c r="A946" i="14" s="1"/>
  <c r="B946" i="14" s="1"/>
  <c r="C976" i="14"/>
  <c r="C977" i="14"/>
  <c r="A977" i="14" s="1"/>
  <c r="B977" i="14" s="1"/>
  <c r="C978" i="14"/>
  <c r="A978" i="14" s="1"/>
  <c r="B978" i="14" s="1"/>
  <c r="C984" i="14"/>
  <c r="C985" i="14"/>
  <c r="F20" i="14"/>
  <c r="F21" i="14"/>
  <c r="F40" i="14"/>
  <c r="F45" i="14"/>
  <c r="F430" i="14"/>
  <c r="F539" i="14"/>
  <c r="F572" i="14"/>
  <c r="F573" i="14"/>
  <c r="F604" i="14"/>
  <c r="F12" i="14"/>
  <c r="F185" i="14"/>
  <c r="F245" i="14"/>
  <c r="F255" i="14"/>
  <c r="F397" i="14"/>
  <c r="F477" i="14"/>
  <c r="F487" i="14"/>
  <c r="F523" i="14"/>
  <c r="F682" i="14"/>
  <c r="F716" i="14"/>
  <c r="F727" i="14"/>
  <c r="F739" i="14"/>
  <c r="C804" i="14"/>
  <c r="C809" i="14"/>
  <c r="C810" i="14"/>
  <c r="A810" i="14" s="1"/>
  <c r="B810" i="14" s="1"/>
  <c r="C828" i="14"/>
  <c r="D828" i="14" s="1"/>
  <c r="F943" i="14"/>
  <c r="F975" i="14"/>
  <c r="F137" i="14"/>
  <c r="F168" i="14"/>
  <c r="C22" i="14"/>
  <c r="A22" i="14" s="1"/>
  <c r="B22" i="14" s="1"/>
  <c r="C62" i="14"/>
  <c r="D62" i="14" s="1"/>
  <c r="C80" i="14"/>
  <c r="D80" i="14" s="1"/>
  <c r="F101" i="14"/>
  <c r="C155" i="14"/>
  <c r="A155" i="14" s="1"/>
  <c r="B155" i="14" s="1"/>
  <c r="F167" i="14"/>
  <c r="F184" i="14"/>
  <c r="F189" i="14"/>
  <c r="C214" i="14"/>
  <c r="D214" i="14" s="1"/>
  <c r="F215" i="14"/>
  <c r="C249" i="14"/>
  <c r="D249" i="14" s="1"/>
  <c r="C264" i="14"/>
  <c r="D264" i="14" s="1"/>
  <c r="F269" i="14"/>
  <c r="C423" i="14"/>
  <c r="D423" i="14" s="1"/>
  <c r="A461" i="14"/>
  <c r="B461" i="14" s="1"/>
  <c r="F467" i="14"/>
  <c r="F486" i="14"/>
  <c r="F491" i="14"/>
  <c r="C500" i="14"/>
  <c r="A500" i="14" s="1"/>
  <c r="B500" i="14" s="1"/>
  <c r="F564" i="14"/>
  <c r="C595" i="14"/>
  <c r="F602" i="14"/>
  <c r="C642" i="14"/>
  <c r="C673" i="14"/>
  <c r="C678" i="14"/>
  <c r="C679" i="14"/>
  <c r="C680" i="14"/>
  <c r="D680" i="14" s="1"/>
  <c r="C686" i="14"/>
  <c r="A686" i="14" s="1"/>
  <c r="B686" i="14" s="1"/>
  <c r="C687" i="14"/>
  <c r="A907" i="14"/>
  <c r="B907" i="14" s="1"/>
  <c r="C993" i="14"/>
  <c r="D993" i="14" s="1"/>
  <c r="C95" i="14"/>
  <c r="C105" i="14"/>
  <c r="D105" i="14" s="1"/>
  <c r="C110" i="14"/>
  <c r="D110" i="14" s="1"/>
  <c r="C115" i="14"/>
  <c r="A115" i="14" s="1"/>
  <c r="B115" i="14" s="1"/>
  <c r="C126" i="14"/>
  <c r="D126" i="14" s="1"/>
  <c r="C160" i="14"/>
  <c r="D160" i="14" s="1"/>
  <c r="C193" i="14"/>
  <c r="C194" i="14"/>
  <c r="D199" i="14"/>
  <c r="D213" i="14"/>
  <c r="C335" i="14"/>
  <c r="C340" i="14"/>
  <c r="A340" i="14" s="1"/>
  <c r="B340" i="14" s="1"/>
  <c r="C356" i="14"/>
  <c r="D356" i="14" s="1"/>
  <c r="C404" i="14"/>
  <c r="D404" i="14" s="1"/>
  <c r="C405" i="14"/>
  <c r="D405" i="14" s="1"/>
  <c r="C438" i="14"/>
  <c r="C460" i="14"/>
  <c r="A460" i="14" s="1"/>
  <c r="B460" i="14" s="1"/>
  <c r="C471" i="14"/>
  <c r="C568" i="14"/>
  <c r="C719" i="14"/>
  <c r="A719" i="14" s="1"/>
  <c r="B719" i="14" s="1"/>
  <c r="C736" i="14"/>
  <c r="D736" i="14" s="1"/>
  <c r="C774" i="14"/>
  <c r="A774" i="14" s="1"/>
  <c r="B774" i="14" s="1"/>
  <c r="D819" i="14"/>
  <c r="D821" i="14"/>
  <c r="C822" i="14"/>
  <c r="D822" i="14" s="1"/>
  <c r="F841" i="14"/>
  <c r="C921" i="14"/>
  <c r="C937" i="14"/>
  <c r="D937" i="14" s="1"/>
  <c r="C272" i="14"/>
  <c r="D272" i="14" s="1"/>
  <c r="F499" i="14"/>
  <c r="C510" i="14"/>
  <c r="D510" i="14" s="1"/>
  <c r="C511" i="14"/>
  <c r="F553" i="14"/>
  <c r="C562" i="14"/>
  <c r="C581" i="14"/>
  <c r="C582" i="14"/>
  <c r="A582" i="14" s="1"/>
  <c r="B582" i="14" s="1"/>
  <c r="C583" i="14"/>
  <c r="A583" i="14" s="1"/>
  <c r="B583" i="14" s="1"/>
  <c r="C622" i="14"/>
  <c r="C662" i="14"/>
  <c r="C663" i="14"/>
  <c r="C766" i="14"/>
  <c r="D766" i="14" s="1"/>
  <c r="D767" i="14"/>
  <c r="C813" i="14"/>
  <c r="F988" i="14"/>
  <c r="F334" i="14"/>
  <c r="F403" i="14"/>
  <c r="D859" i="14"/>
  <c r="C866" i="14"/>
  <c r="D866" i="14" s="1"/>
  <c r="C893" i="14"/>
  <c r="F121" i="14"/>
  <c r="F165" i="14"/>
  <c r="A70" i="14"/>
  <c r="B70" i="14" s="1"/>
  <c r="C71" i="14"/>
  <c r="D71" i="14" s="1"/>
  <c r="C72" i="14"/>
  <c r="C113" i="14"/>
  <c r="D113" i="14" s="1"/>
  <c r="F119" i="14"/>
  <c r="C152" i="14"/>
  <c r="D152" i="14" s="1"/>
  <c r="F181" i="14"/>
  <c r="F207" i="14"/>
  <c r="F247" i="14"/>
  <c r="F281" i="14"/>
  <c r="C393" i="14"/>
  <c r="F416" i="14"/>
  <c r="C420" i="14"/>
  <c r="D430" i="14"/>
  <c r="C436" i="14"/>
  <c r="D436" i="14" s="1"/>
  <c r="F509" i="14"/>
  <c r="C566" i="14"/>
  <c r="A566" i="14" s="1"/>
  <c r="B566" i="14" s="1"/>
  <c r="C574" i="14"/>
  <c r="A574" i="14" s="1"/>
  <c r="B574" i="14" s="1"/>
  <c r="C592" i="14"/>
  <c r="F593" i="14"/>
  <c r="A604" i="14"/>
  <c r="B604" i="14" s="1"/>
  <c r="C610" i="14"/>
  <c r="F676" i="14"/>
  <c r="F684" i="14"/>
  <c r="F751" i="14"/>
  <c r="F767" i="14"/>
  <c r="C314" i="14"/>
  <c r="A314" i="14" s="1"/>
  <c r="B314" i="14" s="1"/>
  <c r="A37" i="14"/>
  <c r="B37" i="14" s="1"/>
  <c r="A38" i="14"/>
  <c r="B38" i="14" s="1"/>
  <c r="A40" i="14"/>
  <c r="B40" i="14" s="1"/>
  <c r="D157" i="14"/>
  <c r="D602" i="14"/>
  <c r="D753" i="14"/>
  <c r="D881" i="14"/>
  <c r="A111" i="14"/>
  <c r="B111" i="14" s="1"/>
  <c r="A389" i="14"/>
  <c r="B389" i="14" s="1"/>
  <c r="D403" i="14"/>
  <c r="A509" i="14"/>
  <c r="B509" i="14" s="1"/>
  <c r="A694" i="14"/>
  <c r="B694" i="14" s="1"/>
  <c r="D851" i="14"/>
  <c r="A930" i="14"/>
  <c r="B930" i="14" s="1"/>
  <c r="A766" i="14"/>
  <c r="B766" i="14" s="1"/>
  <c r="D401" i="14"/>
  <c r="D462" i="14"/>
  <c r="A463" i="14"/>
  <c r="B463" i="14" s="1"/>
  <c r="D606" i="14"/>
  <c r="D739" i="14"/>
  <c r="D935" i="14"/>
  <c r="D968" i="14"/>
  <c r="D445" i="14"/>
  <c r="A446" i="14"/>
  <c r="B446" i="14" s="1"/>
  <c r="D572" i="14"/>
  <c r="D890" i="14"/>
  <c r="C312" i="14"/>
  <c r="D312" i="14" s="1"/>
  <c r="C313" i="14"/>
  <c r="D313" i="14" s="1"/>
  <c r="C238" i="14"/>
  <c r="A238" i="14" s="1"/>
  <c r="B238" i="14" s="1"/>
  <c r="D303" i="14"/>
  <c r="C291" i="14"/>
  <c r="A291" i="14" s="1"/>
  <c r="B291" i="14" s="1"/>
  <c r="F289" i="14"/>
  <c r="F287" i="14"/>
  <c r="C296" i="14"/>
  <c r="D296" i="14" s="1"/>
  <c r="C305" i="14"/>
  <c r="D305" i="14" s="1"/>
  <c r="F239" i="14"/>
  <c r="C294" i="14"/>
  <c r="D294" i="14" s="1"/>
  <c r="F303" i="14"/>
  <c r="F301" i="14"/>
  <c r="D223" i="14"/>
  <c r="C233" i="14"/>
  <c r="D233" i="14" s="1"/>
  <c r="F231" i="14"/>
  <c r="F229" i="14"/>
  <c r="F223" i="14"/>
  <c r="D467" i="14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79" i="14"/>
  <c r="B79" i="14" s="1"/>
  <c r="D92" i="14"/>
  <c r="A113" i="14"/>
  <c r="B113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06" i="14" s="1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C98" i="14"/>
  <c r="A98" i="14" s="1"/>
  <c r="B98" i="14" s="1"/>
  <c r="F98" i="14"/>
  <c r="C103" i="14"/>
  <c r="F103" i="14"/>
  <c r="C143" i="14"/>
  <c r="A143" i="14" s="1"/>
  <c r="B143" i="14" s="1"/>
  <c r="F143" i="14"/>
  <c r="D168" i="14"/>
  <c r="A168" i="14"/>
  <c r="B168" i="14" s="1"/>
  <c r="C129" i="14"/>
  <c r="D129" i="14" s="1"/>
  <c r="F129" i="14"/>
  <c r="D97" i="14"/>
  <c r="A97" i="14"/>
  <c r="B97" i="14" s="1"/>
  <c r="A158" i="14"/>
  <c r="B158" i="14" s="1"/>
  <c r="D158" i="14"/>
  <c r="C197" i="14"/>
  <c r="F197" i="14"/>
  <c r="C277" i="14"/>
  <c r="A277" i="14" s="1"/>
  <c r="B277" i="14" s="1"/>
  <c r="F277" i="14"/>
  <c r="F321" i="14"/>
  <c r="C321" i="14"/>
  <c r="D365" i="14"/>
  <c r="A365" i="14"/>
  <c r="B365" i="14" s="1"/>
  <c r="A78" i="14"/>
  <c r="B78" i="14" s="1"/>
  <c r="D78" i="14"/>
  <c r="C86" i="14"/>
  <c r="F86" i="14"/>
  <c r="C146" i="14"/>
  <c r="A146" i="14" s="1"/>
  <c r="B146" i="14" s="1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A201" i="14" s="1"/>
  <c r="B201" i="14" s="1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A130" i="14" s="1"/>
  <c r="B130" i="14" s="1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33" i="14" s="1"/>
  <c r="B33" i="14" s="1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D166" i="14" s="1"/>
  <c r="C192" i="14"/>
  <c r="A192" i="14" s="1"/>
  <c r="B192" i="14" s="1"/>
  <c r="F237" i="14"/>
  <c r="F253" i="14"/>
  <c r="C288" i="14"/>
  <c r="C290" i="14"/>
  <c r="A290" i="14" s="1"/>
  <c r="B290" i="14" s="1"/>
  <c r="D291" i="14"/>
  <c r="F309" i="14"/>
  <c r="A332" i="14"/>
  <c r="B332" i="14" s="1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A508" i="14" s="1"/>
  <c r="B508" i="14" s="1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A681" i="14" s="1"/>
  <c r="B681" i="14" s="1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10" i="14" s="1"/>
  <c r="B210" i="14" s="1"/>
  <c r="A231" i="14"/>
  <c r="B231" i="14" s="1"/>
  <c r="D231" i="14"/>
  <c r="A247" i="14"/>
  <c r="B247" i="14" s="1"/>
  <c r="D247" i="14"/>
  <c r="C274" i="14"/>
  <c r="D274" i="14" s="1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D589" i="14" s="1"/>
  <c r="A595" i="14"/>
  <c r="B595" i="14" s="1"/>
  <c r="D595" i="14"/>
  <c r="A758" i="14"/>
  <c r="B758" i="14" s="1"/>
  <c r="C827" i="14"/>
  <c r="F827" i="14"/>
  <c r="F46" i="14"/>
  <c r="F205" i="14"/>
  <c r="D238" i="14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A131" i="14" s="1"/>
  <c r="B131" i="14" s="1"/>
  <c r="C182" i="14"/>
  <c r="C190" i="14"/>
  <c r="A190" i="14" s="1"/>
  <c r="B190" i="14" s="1"/>
  <c r="C208" i="14"/>
  <c r="D208" i="14" s="1"/>
  <c r="C225" i="14"/>
  <c r="D225" i="14" s="1"/>
  <c r="C230" i="14"/>
  <c r="C241" i="14"/>
  <c r="D241" i="14" s="1"/>
  <c r="C246" i="14"/>
  <c r="F258" i="14"/>
  <c r="C258" i="14"/>
  <c r="A258" i="14" s="1"/>
  <c r="B258" i="14" s="1"/>
  <c r="C273" i="14"/>
  <c r="D273" i="14" s="1"/>
  <c r="A279" i="14"/>
  <c r="B279" i="14" s="1"/>
  <c r="D279" i="14"/>
  <c r="C286" i="14"/>
  <c r="C323" i="14"/>
  <c r="A333" i="14"/>
  <c r="B333" i="14" s="1"/>
  <c r="A334" i="14"/>
  <c r="B334" i="14" s="1"/>
  <c r="D334" i="14"/>
  <c r="C355" i="14"/>
  <c r="F355" i="14"/>
  <c r="F358" i="14"/>
  <c r="C358" i="14"/>
  <c r="C377" i="14"/>
  <c r="D377" i="14" s="1"/>
  <c r="F392" i="14"/>
  <c r="C392" i="14"/>
  <c r="D392" i="14" s="1"/>
  <c r="C452" i="14"/>
  <c r="D452" i="14" s="1"/>
  <c r="F453" i="14"/>
  <c r="F468" i="14"/>
  <c r="C468" i="14"/>
  <c r="F473" i="14"/>
  <c r="C473" i="14"/>
  <c r="D473" i="14" s="1"/>
  <c r="C495" i="14"/>
  <c r="D495" i="14" s="1"/>
  <c r="F495" i="14"/>
  <c r="C507" i="14"/>
  <c r="D507" i="14" s="1"/>
  <c r="F507" i="14"/>
  <c r="C555" i="14"/>
  <c r="C556" i="14"/>
  <c r="F556" i="14"/>
  <c r="F584" i="14"/>
  <c r="C584" i="14"/>
  <c r="D584" i="14" s="1"/>
  <c r="D633" i="14"/>
  <c r="A633" i="14"/>
  <c r="B633" i="14" s="1"/>
  <c r="C634" i="14"/>
  <c r="A634" i="14" s="1"/>
  <c r="B634" i="14" s="1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A298" i="14" s="1"/>
  <c r="B298" i="14" s="1"/>
  <c r="F307" i="14"/>
  <c r="C307" i="14"/>
  <c r="C324" i="14"/>
  <c r="F324" i="14"/>
  <c r="A339" i="14"/>
  <c r="B339" i="14" s="1"/>
  <c r="F344" i="14"/>
  <c r="C344" i="14"/>
  <c r="D344" i="14" s="1"/>
  <c r="C364" i="14"/>
  <c r="F447" i="14"/>
  <c r="C447" i="14"/>
  <c r="D447" i="14" s="1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D812" i="14" s="1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A293" i="14" s="1"/>
  <c r="B293" i="14" s="1"/>
  <c r="F293" i="14"/>
  <c r="F304" i="14"/>
  <c r="C304" i="14"/>
  <c r="C315" i="14"/>
  <c r="D315" i="14" s="1"/>
  <c r="C317" i="14"/>
  <c r="C318" i="14"/>
  <c r="A349" i="14"/>
  <c r="B349" i="14" s="1"/>
  <c r="C351" i="14"/>
  <c r="D351" i="14" s="1"/>
  <c r="C352" i="14"/>
  <c r="A352" i="14" s="1"/>
  <c r="B352" i="14" s="1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D540" i="14" s="1"/>
  <c r="F561" i="14"/>
  <c r="C561" i="14"/>
  <c r="D561" i="14" s="1"/>
  <c r="C613" i="14"/>
  <c r="A613" i="14" s="1"/>
  <c r="B613" i="14" s="1"/>
  <c r="F613" i="14"/>
  <c r="C660" i="14"/>
  <c r="F660" i="14"/>
  <c r="F390" i="14"/>
  <c r="C390" i="14"/>
  <c r="D390" i="14" s="1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A707" i="14" s="1"/>
  <c r="B707" i="14" s="1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D492" i="14" s="1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D718" i="14" s="1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A675" i="14" s="1"/>
  <c r="B675" i="14" s="1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D808" i="14" s="1"/>
  <c r="F651" i="14"/>
  <c r="C651" i="14"/>
  <c r="D651" i="14" s="1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D469" i="14" s="1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F833" i="14"/>
  <c r="C833" i="14"/>
  <c r="D833" i="14" s="1"/>
  <c r="C879" i="14"/>
  <c r="A879" i="14" s="1"/>
  <c r="B879" i="14" s="1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A901" i="14" s="1"/>
  <c r="B901" i="14" s="1"/>
  <c r="C661" i="14"/>
  <c r="F661" i="14"/>
  <c r="F738" i="14"/>
  <c r="C738" i="14"/>
  <c r="F762" i="14"/>
  <c r="C762" i="14"/>
  <c r="F802" i="14"/>
  <c r="C802" i="14"/>
  <c r="A802" i="14" s="1"/>
  <c r="B802" i="14" s="1"/>
  <c r="C811" i="14"/>
  <c r="F811" i="14"/>
  <c r="F834" i="14"/>
  <c r="C834" i="14"/>
  <c r="A834" i="14" s="1"/>
  <c r="B834" i="14" s="1"/>
  <c r="C856" i="14"/>
  <c r="D856" i="14" s="1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A997" i="14" s="1"/>
  <c r="B997" i="14" s="1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A965" i="14" s="1"/>
  <c r="B965" i="14" s="1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9" i="14"/>
  <c r="A110" i="14"/>
  <c r="B110" i="14" s="1"/>
  <c r="D151" i="14"/>
  <c r="A152" i="14"/>
  <c r="B15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F107" i="14"/>
  <c r="C107" i="14"/>
  <c r="F114" i="14"/>
  <c r="C116" i="14"/>
  <c r="F116" i="14"/>
  <c r="C117" i="14"/>
  <c r="F117" i="14"/>
  <c r="D121" i="14"/>
  <c r="A121" i="14"/>
  <c r="B121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A208" i="14"/>
  <c r="B208" i="14" s="1"/>
  <c r="F8" i="14"/>
  <c r="F24" i="14"/>
  <c r="A207" i="14"/>
  <c r="B207" i="14" s="1"/>
  <c r="D207" i="14"/>
  <c r="A57" i="14"/>
  <c r="B57" i="14" s="1"/>
  <c r="D57" i="14"/>
  <c r="D53" i="14"/>
  <c r="F28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D287" i="14"/>
  <c r="C300" i="14"/>
  <c r="F300" i="14"/>
  <c r="D323" i="14"/>
  <c r="A323" i="14"/>
  <c r="B323" i="14" s="1"/>
  <c r="F374" i="14"/>
  <c r="C374" i="14"/>
  <c r="C124" i="14"/>
  <c r="F124" i="14"/>
  <c r="C268" i="14"/>
  <c r="F268" i="14"/>
  <c r="D285" i="14"/>
  <c r="A285" i="14"/>
  <c r="B285" i="14" s="1"/>
  <c r="C292" i="14"/>
  <c r="F292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F496" i="14"/>
  <c r="C496" i="14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C227" i="14"/>
  <c r="C235" i="14"/>
  <c r="C243" i="14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C343" i="14"/>
  <c r="F350" i="14"/>
  <c r="A363" i="14"/>
  <c r="B363" i="14" s="1"/>
  <c r="D363" i="14"/>
  <c r="A372" i="14"/>
  <c r="B372" i="14" s="1"/>
  <c r="F386" i="14"/>
  <c r="C386" i="14"/>
  <c r="F387" i="14"/>
  <c r="A404" i="14"/>
  <c r="B404" i="14" s="1"/>
  <c r="A427" i="14"/>
  <c r="B427" i="14" s="1"/>
  <c r="D427" i="14"/>
  <c r="D454" i="14"/>
  <c r="A454" i="14"/>
  <c r="B454" i="14" s="1"/>
  <c r="D455" i="14"/>
  <c r="A455" i="14"/>
  <c r="B455" i="14" s="1"/>
  <c r="C456" i="14"/>
  <c r="C457" i="14"/>
  <c r="F458" i="14"/>
  <c r="C458" i="14"/>
  <c r="A469" i="14"/>
  <c r="B469" i="14" s="1"/>
  <c r="D470" i="14"/>
  <c r="A479" i="14"/>
  <c r="B479" i="14" s="1"/>
  <c r="A492" i="14"/>
  <c r="B492" i="14" s="1"/>
  <c r="A507" i="14"/>
  <c r="B507" i="14" s="1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42" i="14"/>
  <c r="B542" i="14" s="1"/>
  <c r="D567" i="14"/>
  <c r="F664" i="14"/>
  <c r="C664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D583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F402" i="14"/>
  <c r="C402" i="14"/>
  <c r="F475" i="14"/>
  <c r="F482" i="14"/>
  <c r="C482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A610" i="14"/>
  <c r="B610" i="14" s="1"/>
  <c r="D610" i="14"/>
  <c r="F621" i="14"/>
  <c r="C621" i="14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712" i="14"/>
  <c r="B712" i="14" s="1"/>
  <c r="A718" i="14"/>
  <c r="B718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801" i="14"/>
  <c r="B801" i="14" s="1"/>
  <c r="D801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D997" i="14"/>
  <c r="F998" i="14"/>
  <c r="C998" i="14"/>
  <c r="D921" i="14"/>
  <c r="A921" i="14"/>
  <c r="B921" i="14" s="1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C981" i="14"/>
  <c r="F999" i="14"/>
  <c r="F894" i="14"/>
  <c r="C894" i="14"/>
  <c r="F926" i="14"/>
  <c r="C926" i="14"/>
  <c r="F958" i="14"/>
  <c r="C958" i="14"/>
  <c r="F990" i="14"/>
  <c r="C990" i="14"/>
  <c r="F1003" i="14"/>
  <c r="A518" i="14" l="1"/>
  <c r="B518" i="14" s="1"/>
  <c r="D130" i="14"/>
  <c r="A540" i="14"/>
  <c r="B540" i="14" s="1"/>
  <c r="D29" i="14"/>
  <c r="A390" i="14"/>
  <c r="B390" i="14" s="1"/>
  <c r="A274" i="14"/>
  <c r="B274" i="14" s="1"/>
  <c r="D192" i="14"/>
  <c r="D381" i="14"/>
  <c r="A381" i="14"/>
  <c r="B381" i="14" s="1"/>
  <c r="D290" i="14"/>
  <c r="A179" i="14"/>
  <c r="B179" i="14" s="1"/>
  <c r="D802" i="14"/>
  <c r="A585" i="14"/>
  <c r="B585" i="14" s="1"/>
  <c r="A584" i="14"/>
  <c r="B584" i="14" s="1"/>
  <c r="A651" i="14"/>
  <c r="B651" i="14" s="1"/>
  <c r="D500" i="14"/>
  <c r="A249" i="14"/>
  <c r="B249" i="14" s="1"/>
  <c r="D508" i="14"/>
  <c r="D146" i="14"/>
  <c r="A306" i="14"/>
  <c r="B306" i="14" s="1"/>
  <c r="A937" i="14"/>
  <c r="B937" i="14" s="1"/>
  <c r="A405" i="14"/>
  <c r="B405" i="14" s="1"/>
  <c r="D72" i="14"/>
  <c r="A72" i="14"/>
  <c r="B72" i="14" s="1"/>
  <c r="D131" i="14"/>
  <c r="D686" i="14"/>
  <c r="D879" i="14"/>
  <c r="A714" i="14"/>
  <c r="B714" i="14" s="1"/>
  <c r="D449" i="14"/>
  <c r="D277" i="14"/>
  <c r="D90" i="14"/>
  <c r="A6" i="14"/>
  <c r="B6" i="14" s="1"/>
  <c r="A828" i="14"/>
  <c r="B828" i="14" s="1"/>
  <c r="A264" i="14"/>
  <c r="B264" i="14" s="1"/>
  <c r="A568" i="14"/>
  <c r="B568" i="14" s="1"/>
  <c r="D568" i="14"/>
  <c r="D984" i="14"/>
  <c r="A984" i="14"/>
  <c r="B984" i="14" s="1"/>
  <c r="D914" i="14"/>
  <c r="A914" i="14"/>
  <c r="B914" i="14" s="1"/>
  <c r="D258" i="14"/>
  <c r="A166" i="14"/>
  <c r="B166" i="14" s="1"/>
  <c r="A736" i="14"/>
  <c r="B736" i="14" s="1"/>
  <c r="D847" i="14"/>
  <c r="D293" i="14"/>
  <c r="D102" i="14"/>
  <c r="A126" i="14"/>
  <c r="B126" i="14" s="1"/>
  <c r="A356" i="14"/>
  <c r="B356" i="14" s="1"/>
  <c r="A526" i="14"/>
  <c r="B526" i="14" s="1"/>
  <c r="D337" i="14"/>
  <c r="A272" i="14"/>
  <c r="B272" i="14" s="1"/>
  <c r="D794" i="14"/>
  <c r="D314" i="14"/>
  <c r="A313" i="14"/>
  <c r="B313" i="14" s="1"/>
  <c r="A995" i="14"/>
  <c r="B995" i="14" s="1"/>
  <c r="A963" i="14"/>
  <c r="B963" i="14" s="1"/>
  <c r="D352" i="14"/>
  <c r="A315" i="14"/>
  <c r="B315" i="14" s="1"/>
  <c r="A812" i="14"/>
  <c r="B812" i="14" s="1"/>
  <c r="D516" i="14"/>
  <c r="A447" i="14"/>
  <c r="B447" i="14" s="1"/>
  <c r="A312" i="14"/>
  <c r="B312" i="14" s="1"/>
  <c r="A452" i="14"/>
  <c r="B452" i="14" s="1"/>
  <c r="A305" i="14"/>
  <c r="B305" i="14" s="1"/>
  <c r="A641" i="14"/>
  <c r="B641" i="14" s="1"/>
  <c r="D210" i="14"/>
  <c r="D33" i="14"/>
  <c r="A129" i="14"/>
  <c r="B129" i="14" s="1"/>
  <c r="D369" i="14"/>
  <c r="D834" i="14"/>
  <c r="A296" i="14"/>
  <c r="B296" i="14" s="1"/>
  <c r="D298" i="14"/>
  <c r="A294" i="14"/>
  <c r="B294" i="14" s="1"/>
  <c r="A241" i="14"/>
  <c r="B241" i="14" s="1"/>
  <c r="A233" i="14"/>
  <c r="B233" i="14" s="1"/>
  <c r="A225" i="14"/>
  <c r="B225" i="14" s="1"/>
  <c r="A911" i="14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<sst xmlns="http://schemas.openxmlformats.org/spreadsheetml/2006/main" count="3225" uniqueCount="1173">
  <si>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</si>
  <si>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</si>
  <si>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</si>
  <si>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</si>
  <si>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</si>
  <si>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</si>
  <si>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</si>
  <si>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</si>
  <si>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</si>
  <si>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</si>
  <si>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</si>
  <si>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</si>
  <si>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</si>
  <si>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</si>
  <si>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</si>
  <si>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</si>
  <si>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</si>
  <si>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</si>
  <si>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</si>
  <si>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</si>
  <si>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</si>
  <si>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</si>
  <si>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</si>
  <si>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</si>
  <si>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</si>
  <si>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</si>
  <si>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</si>
  <si>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</si>
  <si>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</si>
  <si>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</si>
  <si>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</si>
  <si>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</si>
  <si>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</si>
  <si>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</si>
  <si>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</si>
  <si>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</si>
  <si>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</si>
  <si>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</si>
  <si>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</si>
  <si>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</si>
  <si>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</si>
  <si>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</si>
  <si>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</si>
  <si>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</si>
  <si>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</si>
  <si>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</si>
  <si>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</si>
  <si>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</si>
  <si>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</si>
  <si>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</si>
  <si>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</si>
  <si>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</si>
  <si>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</si>
  <si>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</si>
  <si>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</si>
  <si>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</si>
  <si>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</si>
  <si>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</si>
  <si>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</si>
  <si>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</si>
  <si>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</si>
  <si>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</si>
  <si>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</si>
  <si>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</si>
  <si>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</si>
  <si>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</si>
  <si>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</si>
  <si>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</si>
  <si>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</si>
  <si>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</si>
  <si>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</si>
  <si>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</si>
  <si>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</si>
  <si>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</si>
  <si>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</si>
  <si>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</si>
  <si>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</si>
  <si>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</si>
  <si>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</si>
  <si>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</si>
  <si>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</si>
  <si>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</si>
  <si>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</si>
  <si>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</si>
  <si>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</si>
  <si>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</si>
  <si>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</si>
  <si>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</si>
  <si>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</si>
  <si>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</si>
  <si>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</si>
  <si>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</si>
  <si>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</si>
  <si>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</si>
  <si>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</si>
  <si>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</si>
  <si>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</si>
  <si>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</si>
  <si>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</si>
  <si>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</si>
  <si>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</si>
  <si>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</si>
  <si>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</si>
  <si>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</si>
  <si>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</si>
  <si>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</si>
  <si>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</si>
  <si>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</si>
  <si>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</si>
  <si>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</si>
  <si>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</si>
  <si>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</si>
  <si>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</si>
  <si>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</si>
  <si>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</si>
  <si>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</si>
  <si>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</si>
  <si>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</si>
  <si>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</si>
  <si>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</si>
  <si>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</si>
  <si>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</si>
  <si>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</si>
  <si>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</si>
  <si>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</si>
  <si>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</si>
  <si>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</si>
  <si>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</si>
  <si>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</si>
  <si>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</si>
  <si>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</si>
  <si>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</si>
  <si>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</si>
  <si>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</si>
  <si>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</si>
  <si>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</si>
  <si>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</si>
  <si>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</si>
  <si>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</si>
  <si>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</si>
  <si>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</si>
  <si>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</si>
  <si>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</si>
  <si>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</si>
  <si>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</si>
  <si>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</si>
  <si>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</si>
  <si>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</si>
  <si>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</si>
  <si>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</si>
  <si>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</si>
  <si>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</si>
  <si>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</si>
  <si>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</si>
  <si>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</si>
  <si>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</si>
  <si>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</si>
  <si>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</si>
  <si>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</si>
  <si>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</si>
  <si>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</si>
  <si>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</si>
  <si>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</si>
  <si>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</si>
  <si>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</si>
  <si>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</si>
  <si>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</si>
  <si>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</si>
  <si>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</si>
  <si>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</si>
  <si>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</si>
  <si>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</si>
  <si>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</si>
  <si>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</si>
  <si>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</si>
  <si>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</si>
  <si>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</si>
  <si>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</si>
  <si>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</si>
  <si>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</si>
  <si>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</si>
  <si>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</si>
  <si>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</si>
  <si>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</si>
  <si>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</si>
  <si>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</si>
  <si>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</si>
  <si>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</si>
  <si>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</si>
  <si>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</si>
  <si>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</si>
  <si>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</si>
  <si>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</si>
  <si>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</si>
  <si>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</si>
  <si>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</si>
  <si>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</si>
  <si>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</si>
  <si>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</si>
  <si>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</si>
  <si>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</si>
  <si>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</si>
  <si>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</si>
  <si>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</si>
  <si>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</si>
  <si>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</si>
  <si>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</si>
  <si>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</si>
  <si>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</si>
  <si>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</si>
  <si>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</si>
  <si>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</si>
  <si>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</si>
  <si>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</si>
  <si>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</si>
  <si>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</si>
  <si>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</si>
  <si>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</si>
  <si>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</si>
  <si>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</si>
  <si>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</si>
  <si>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</si>
  <si>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</si>
  <si>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</si>
  <si>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</si>
  <si>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</si>
  <si>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</si>
  <si>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</si>
  <si>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</si>
  <si>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</si>
  <si>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</si>
  <si>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</si>
  <si>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</si>
  <si>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</si>
  <si>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</si>
  <si>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</si>
  <si>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</si>
  <si>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</si>
  <si>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</si>
  <si>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</si>
  <si>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</si>
  <si>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</si>
  <si>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</si>
  <si>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</si>
  <si>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</si>
  <si>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</si>
  <si>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</si>
  <si>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</si>
  <si>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</si>
  <si>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</si>
  <si>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</si>
  <si>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</si>
  <si>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</si>
  <si>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</si>
  <si>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</si>
  <si>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</si>
  <si>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</si>
  <si>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</si>
  <si>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</si>
  <si>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</si>
  <si>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</si>
  <si>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</si>
  <si>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</si>
  <si>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</si>
  <si>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</si>
  <si>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</si>
  <si>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</si>
  <si>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</si>
  <si>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</si>
  <si>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</si>
  <si>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</si>
  <si>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</si>
  <si>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</si>
  <si>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</si>
  <si>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</si>
  <si>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</si>
  <si>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</si>
  <si>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</si>
  <si>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</si>
  <si>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</si>
  <si>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</si>
  <si>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</si>
  <si>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</si>
  <si>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</si>
  <si>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</si>
  <si>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</si>
  <si>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</si>
  <si>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</si>
  <si>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</si>
  <si>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</si>
  <si>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</si>
  <si>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</si>
  <si>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</si>
  <si>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</si>
  <si>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</si>
  <si>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</si>
  <si>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</si>
  <si>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</si>
  <si>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</si>
  <si>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</si>
  <si>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</si>
  <si>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</si>
  <si>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</si>
  <si>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</si>
  <si>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</si>
  <si>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</si>
  <si>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</si>
  <si>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</si>
  <si>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</si>
  <si>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</si>
  <si>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</si>
  <si>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</si>
  <si>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</si>
  <si>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</si>
  <si>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</si>
  <si>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</si>
  <si>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</si>
  <si>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</si>
  <si>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</si>
  <si>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</si>
  <si>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</si>
  <si>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</si>
  <si>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</si>
  <si>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</si>
  <si>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</si>
  <si>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</si>
  <si>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</si>
  <si>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</si>
  <si>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</si>
  <si>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</si>
  <si>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</si>
  <si>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</si>
  <si>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</si>
  <si>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</si>
  <si>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</si>
  <si>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</si>
  <si>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</si>
  <si>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</si>
  <si>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</si>
  <si>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</si>
  <si>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</si>
  <si>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</si>
  <si>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</si>
  <si>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</si>
  <si>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</si>
  <si>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</si>
  <si>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</si>
  <si>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</si>
  <si>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</si>
  <si>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</si>
  <si>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</si>
  <si>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</si>
  <si>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</si>
  <si>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</si>
  <si>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</si>
  <si>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</si>
  <si>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</si>
  <si>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</si>
  <si>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</si>
  <si>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</si>
  <si>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</si>
  <si>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</si>
  <si>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</si>
  <si>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</si>
  <si>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</si>
  <si>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</si>
  <si>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</si>
  <si>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</si>
  <si>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</si>
  <si>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</si>
  <si>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</si>
  <si>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</si>
  <si>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</si>
  <si>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</si>
  <si>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</si>
  <si>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</si>
  <si>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</si>
  <si>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</si>
  <si>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</si>
  <si>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</si>
  <si>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</si>
  <si>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</si>
  <si>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</si>
  <si>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</si>
  <si>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</si>
  <si>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</si>
  <si>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</si>
  <si>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</si>
  <si>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</si>
  <si>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</si>
  <si>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</si>
  <si>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</si>
  <si>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</si>
  <si>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</si>
  <si>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</si>
  <si>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</si>
  <si>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</si>
  <si>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</si>
  <si>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</si>
  <si>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</si>
  <si>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</si>
  <si>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</si>
  <si>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</si>
  <si>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</si>
  <si>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</si>
  <si>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</si>
  <si>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</si>
  <si>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</si>
  <si>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</si>
  <si>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</si>
  <si>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</si>
  <si>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</si>
  <si>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</si>
  <si>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</si>
  <si>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</si>
  <si>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</si>
  <si>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</si>
  <si>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</si>
  <si>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</si>
  <si>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</si>
  <si>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</si>
  <si>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</si>
  <si>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</si>
  <si>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</si>
  <si>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</si>
  <si>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</si>
  <si>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</si>
  <si>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</si>
  <si>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</si>
  <si>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</si>
  <si>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</si>
  <si>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</si>
  <si>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</si>
  <si>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</si>
  <si>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</si>
  <si>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</si>
  <si>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</si>
  <si>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</si>
  <si>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</si>
  <si>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</si>
  <si>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</si>
  <si>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</si>
  <si>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</si>
  <si>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</si>
  <si>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</si>
  <si>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</si>
  <si>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</si>
  <si>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</si>
  <si>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</si>
  <si>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</si>
  <si>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</si>
  <si>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</si>
  <si>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</si>
  <si>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</si>
  <si>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</si>
  <si>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</si>
  <si>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</si>
  <si>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</si>
  <si>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</si>
  <si>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</si>
  <si>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</si>
  <si>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</si>
  <si>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</si>
  <si>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</si>
  <si>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</si>
  <si>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</si>
  <si>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</si>
  <si>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</si>
  <si>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</si>
  <si>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</si>
  <si>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</si>
  <si>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</si>
  <si>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</si>
  <si>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</si>
  <si>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</si>
  <si>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</si>
  <si>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</si>
  <si>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</si>
  <si>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</si>
  <si>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</si>
  <si>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</si>
  <si>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</si>
  <si>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</si>
  <si>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</si>
  <si>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</si>
  <si>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</si>
  <si>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</si>
  <si>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</si>
  <si>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</si>
  <si>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</si>
  <si>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</si>
  <si>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</si>
  <si>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</si>
  <si>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</si>
  <si>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</si>
  <si>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</si>
  <si>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</si>
  <si>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</si>
  <si>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</si>
  <si>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</si>
  <si>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</si>
  <si>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</si>
  <si>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</si>
  <si>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</si>
  <si>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</si>
  <si>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</si>
  <si>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</si>
  <si>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</si>
  <si>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</si>
  <si>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</si>
  <si>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</si>
  <si>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</si>
  <si>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</si>
  <si>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</si>
  <si>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</si>
  <si>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</si>
  <si>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</si>
  <si>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</si>
  <si>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</si>
  <si>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</si>
  <si>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</si>
  <si>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</si>
  <si>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</si>
  <si>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</si>
  <si>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</si>
  <si>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</si>
  <si>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</si>
  <si>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</si>
  <si>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</si>
  <si>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</si>
  <si>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</si>
  <si>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</si>
  <si>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</si>
  <si>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</si>
  <si>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</si>
  <si>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</si>
  <si>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</si>
  <si>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</si>
  <si>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</si>
  <si>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</si>
  <si>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</si>
  <si>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</si>
  <si>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</si>
  <si>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</si>
  <si>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</si>
  <si>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</si>
  <si>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</si>
  <si>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</si>
  <si>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</si>
  <si>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</si>
  <si>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</si>
  <si>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</si>
  <si>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</si>
  <si>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</si>
  <si>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</si>
  <si>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</si>
  <si>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</si>
  <si>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</si>
  <si>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</si>
  <si>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</si>
  <si>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</si>
  <si>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</si>
  <si>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</si>
  <si>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</si>
  <si>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</si>
  <si>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</si>
  <si>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</si>
  <si>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</si>
  <si>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</si>
  <si>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</si>
  <si>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</si>
  <si>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</si>
  <si>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</si>
  <si>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</si>
  <si>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</si>
  <si>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</si>
  <si>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</si>
  <si>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</si>
  <si>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</si>
  <si>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</si>
  <si>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</si>
  <si>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</si>
  <si>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</si>
  <si>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</si>
  <si>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</si>
  <si>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</si>
  <si>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</si>
  <si>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</si>
  <si>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</si>
  <si>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</si>
  <si>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</si>
  <si>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</si>
  <si>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</si>
  <si>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</si>
  <si>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</si>
  <si>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</si>
  <si>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</si>
  <si>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</si>
  <si>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</si>
  <si>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</si>
  <si>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</si>
  <si>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</si>
  <si>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</si>
  <si>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</si>
  <si>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</si>
  <si>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</si>
  <si>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</si>
  <si>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</si>
  <si>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</si>
  <si>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</si>
  <si>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</si>
  <si>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</si>
  <si>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</si>
  <si>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</si>
  <si>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</si>
  <si>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</si>
  <si>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</si>
  <si>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</si>
  <si>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</si>
  <si>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</si>
  <si>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</si>
  <si>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</si>
  <si>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</si>
  <si>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</si>
  <si>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</si>
  <si>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</si>
  <si>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</si>
  <si>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</si>
  <si>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</si>
  <si>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</si>
  <si>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</si>
  <si>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</si>
  <si>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</si>
  <si>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</si>
  <si>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</si>
  <si>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</si>
  <si>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</si>
  <si>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</si>
  <si>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</si>
  <si>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</si>
  <si>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</si>
  <si>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</si>
  <si>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</si>
  <si>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</si>
  <si>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</si>
  <si>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</si>
  <si>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</si>
  <si>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</si>
  <si>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</si>
  <si>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</si>
  <si>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</si>
  <si>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</si>
  <si>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</si>
  <si>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</si>
  <si>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</si>
  <si>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</si>
  <si>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</si>
  <si>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</si>
  <si>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</si>
  <si>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</si>
  <si>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</si>
  <si>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</si>
  <si>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</si>
  <si>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</si>
  <si>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</si>
  <si>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</si>
  <si>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</si>
  <si>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</si>
  <si>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</si>
  <si>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</si>
  <si>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</si>
  <si>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</si>
  <si>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</si>
  <si>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</si>
  <si>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</si>
  <si>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</si>
  <si>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</si>
  <si>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</si>
  <si>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</si>
  <si>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</si>
  <si>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</si>
  <si>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</si>
  <si>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</si>
  <si>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</si>
  <si>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</si>
  <si>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</si>
  <si>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</si>
  <si>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</si>
  <si>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</si>
  <si>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</si>
  <si>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</si>
  <si>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</si>
  <si>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</si>
  <si>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</si>
  <si>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</si>
  <si>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</si>
  <si>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</si>
  <si>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</si>
  <si>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</si>
  <si>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</si>
  <si>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</si>
  <si>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</si>
  <si>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</si>
  <si>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</si>
  <si>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</si>
  <si>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</si>
  <si>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</si>
  <si>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</si>
  <si>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</si>
  <si>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</si>
  <si>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</si>
  <si>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</si>
  <si>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</si>
  <si>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</si>
  <si>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</si>
  <si>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</si>
  <si>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</si>
  <si>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</si>
  <si>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</si>
  <si>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</si>
  <si>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</si>
  <si>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</si>
  <si>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</si>
  <si>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</si>
  <si>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</si>
  <si>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</si>
  <si>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</si>
  <si>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</si>
  <si>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</si>
  <si>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</si>
  <si>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</si>
  <si>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</si>
  <si>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</si>
  <si>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</si>
  <si>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</si>
  <si>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</si>
  <si>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</si>
  <si>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</si>
  <si>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</si>
  <si>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</si>
  <si>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</si>
  <si>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</si>
  <si>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</si>
  <si>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</si>
  <si>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</si>
  <si>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</si>
  <si>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</si>
  <si>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</si>
  <si>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</si>
  <si>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</si>
  <si>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</si>
  <si>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</si>
  <si>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</si>
  <si>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</si>
  <si>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</si>
  <si>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</si>
  <si>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</si>
  <si>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</si>
  <si>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</si>
  <si>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</si>
  <si>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</si>
  <si>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</si>
  <si>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</si>
  <si>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</si>
  <si>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</si>
  <si>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</si>
  <si>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</si>
  <si>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</si>
  <si>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</si>
  <si>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</si>
  <si>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</si>
  <si>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</si>
  <si>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</si>
  <si>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</si>
  <si>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</si>
  <si>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</si>
  <si>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</si>
  <si>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</si>
  <si>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</si>
  <si>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</si>
  <si>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</si>
  <si>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</si>
  <si>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</si>
  <si>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</si>
  <si>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</si>
  <si>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</si>
  <si>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</si>
  <si>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</si>
  <si>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</si>
  <si>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</si>
  <si>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</si>
  <si>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</si>
  <si>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</si>
  <si>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</si>
  <si>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</si>
  <si>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</si>
  <si>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</si>
  <si>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</si>
  <si>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</si>
  <si>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</si>
  <si>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</si>
  <si>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</si>
  <si>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</si>
  <si>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</si>
  <si>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</si>
  <si>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</si>
  <si>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</si>
  <si>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</si>
  <si>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</si>
  <si>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</si>
  <si>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</si>
  <si>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</si>
  <si>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</si>
  <si>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</si>
  <si>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</si>
  <si>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</si>
  <si>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</si>
  <si>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</si>
  <si>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</si>
  <si>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</si>
  <si>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</si>
  <si>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</si>
  <si>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</si>
  <si>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</si>
  <si>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</si>
  <si>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</si>
  <si>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</si>
  <si>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</si>
  <si>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</si>
  <si>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</si>
  <si>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</si>
  <si>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</si>
  <si>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</si>
  <si>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</si>
  <si>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</si>
  <si>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</si>
  <si>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</si>
  <si>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</si>
  <si>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</si>
  <si>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</si>
  <si>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</si>
  <si>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</si>
  <si>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</si>
  <si>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</si>
  <si>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</si>
  <si>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</si>
  <si>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</si>
  <si>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</si>
  <si>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</si>
  <si>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</si>
  <si>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</si>
  <si>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</si>
  <si>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</si>
  <si>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</si>
  <si>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</si>
  <si>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</si>
  <si>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</si>
  <si>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</si>
  <si>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</si>
  <si>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</si>
  <si>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</si>
  <si>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</si>
  <si>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</si>
  <si>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</si>
  <si>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</si>
  <si>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</si>
  <si>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</si>
  <si>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</si>
  <si>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</si>
  <si>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</si>
  <si>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</si>
  <si>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</si>
  <si>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</si>
  <si>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</si>
  <si>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</si>
  <si>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</si>
  <si>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</si>
  <si>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</si>
  <si>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</si>
  <si>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</si>
  <si>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</si>
  <si>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</si>
  <si>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</si>
  <si>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</si>
  <si>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</si>
  <si>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</si>
  <si>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</si>
  <si>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</si>
  <si>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</si>
  <si>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</si>
  <si>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</si>
  <si>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</si>
  <si>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</si>
  <si>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</si>
  <si>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</si>
  <si>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</si>
  <si>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</si>
  <si>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</si>
  <si>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</si>
  <si>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</si>
  <si>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</si>
  <si>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</si>
  <si>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</si>
  <si>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</si>
  <si>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</si>
  <si>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</si>
  <si>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</si>
  <si>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</si>
  <si>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</si>
  <si>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</si>
  <si>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</si>
  <si>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</si>
  <si>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</si>
  <si>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</si>
  <si>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</si>
  <si>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</si>
  <si>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</si>
  <si>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</si>
  <si>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</si>
  <si>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</si>
  <si>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</si>
  <si>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</si>
  <si>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</si>
  <si>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</si>
  <si>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</si>
  <si>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</si>
  <si>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</si>
  <si>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</si>
  <si>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</si>
  <si>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</si>
  <si>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</si>
  <si>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</si>
  <si>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</si>
  <si>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</si>
  <si>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</si>
  <si>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</si>
  <si>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</si>
  <si>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</si>
  <si>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</si>
  <si>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</si>
  <si>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</si>
  <si>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</si>
  <si>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</si>
  <si>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</si>
  <si>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</si>
  <si>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</si>
  <si>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</si>
  <si>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</si>
  <si>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</si>
  <si>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</si>
  <si>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</si>
  <si>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</si>
  <si>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</si>
  <si>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</si>
  <si>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</si>
  <si>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</si>
  <si>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</si>
  <si>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</si>
  <si>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</si>
  <si>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</si>
  <si>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</si>
  <si>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</si>
  <si>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</si>
  <si>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</si>
  <si>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</si>
  <si>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</si>
  <si>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</si>
  <si>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</si>
  <si>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</si>
  <si>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</si>
  <si>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</si>
  <si>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</si>
  <si>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</si>
  <si>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</si>
  <si>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</si>
  <si>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</si>
  <si>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</si>
  <si>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</si>
  <si>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</si>
  <si>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</si>
  <si>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</si>
  <si>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</si>
  <si>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</si>
  <si>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</si>
  <si>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</si>
  <si>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</si>
  <si>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</si>
  <si>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</si>
  <si>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</si>
  <si>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</si>
  <si>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</si>
  <si>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</si>
  <si>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</si>
  <si>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</si>
  <si>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</si>
  <si>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</si>
  <si>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</si>
  <si>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</si>
  <si>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</si>
  <si>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</si>
  <si>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</si>
  <si>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</si>
  <si>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</si>
  <si>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</si>
  <si>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</si>
  <si>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</si>
  <si>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</si>
  <si>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</si>
  <si>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</si>
  <si>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</si>
  <si>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</si>
  <si>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</si>
  <si>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</si>
  <si>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</si>
  <si>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</si>
  <si>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</si>
  <si>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</si>
  <si>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</si>
  <si>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</si>
  <si>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</si>
  <si>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</si>
  <si>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</si>
  <si>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</si>
  <si>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</si>
  <si>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</si>
  <si>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</si>
  <si>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</si>
  <si>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</si>
  <si>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</si>
  <si>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</si>
  <si>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</si>
  <si>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</si>
  <si>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</si>
  <si>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</si>
  <si>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</si>
  <si>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</si>
  <si>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</si>
  <si>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</si>
  <si>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</si>
  <si>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</si>
  <si>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</si>
  <si>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</si>
  <si>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</si>
  <si>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</si>
  <si>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</si>
  <si>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</si>
  <si>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</si>
  <si>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</si>
  <si>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</si>
  <si>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</si>
  <si>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</si>
  <si>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</si>
  <si>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</si>
  <si>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</si>
  <si>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</si>
  <si>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</si>
  <si>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</si>
  <si>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</si>
  <si>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</si>
  <si>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</si>
  <si>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</si>
  <si>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</si>
  <si>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</si>
  <si>
    <t>メインキーボード</t>
  </si>
  <si>
    <t>FILCO製</t>
  </si>
  <si>
    <t>有線フルキーボード（ブラック）</t>
  </si>
  <si>
    <t>トラックボールマウス</t>
  </si>
  <si>
    <t>ロジクール製</t>
  </si>
  <si>
    <t>有線トラックボール（グレー本体、赤ボール）</t>
  </si>
  <si>
    <t>サブマウス</t>
  </si>
  <si>
    <t>ワイヤレス/有線マウス（レッド×ブラック）</t>
  </si>
  <si>
    <t>モニター</t>
  </si>
  <si>
    <t>計3台（中央：大型ワイド、左右：サブモニター）</t>
  </si>
  <si>
    <t>USBハブ</t>
  </si>
  <si>
    <t>スイッチ付きマルチポートUSBハブ（デスク右側）</t>
  </si>
  <si>
    <t>PCステッカー</t>
  </si>
  <si>
    <t>「Diginnos」ロゴステッカー（デスク右奥）</t>
  </si>
  <si>
    <t>カッターマット</t>
  </si>
  <si>
    <t>緑色（マス目付き、中央左寄り）</t>
  </si>
  <si>
    <t>ペン立て</t>
  </si>
  <si>
    <t>2箇所（ピンク×黒のチェック柄、クリアタイプ）</t>
  </si>
  <si>
    <t>筆記具・工具</t>
  </si>
  <si>
    <t>サクラクレパス「マイネーム」（黒・赤）、青柄のカッター、ピンセット</t>
  </si>
  <si>
    <t>固形アラビックのり（ヤマト）、スティックのり（STICK</t>
  </si>
  <si>
    <t>GLUE）2本</t>
  </si>
  <si>
    <t>メモ・ノート類</t>
  </si>
  <si>
    <t>緑色表紙のリングノート（めくり式ラベルシート付き）</t>
  </si>
  <si>
    <t>付箋</t>
  </si>
  <si>
    <t>プラスチックケース入り黄緑色付箋（「ひらく」の表記あり）</t>
  </si>
  <si>
    <t>テープカッター</t>
  </si>
  <si>
    <t>ピンク色（セロハンテープ用）</t>
  </si>
  <si>
    <t>パンチ</t>
  </si>
  <si>
    <t>2穴パンチ（ブラック）</t>
  </si>
  <si>
    <t>マグネットトレイ</t>
  </si>
  <si>
    <t>丸型金属製トレイ</t>
  </si>
  <si>
    <t>プラスチックカゴ</t>
  </si>
  <si>
    <t>ピンク色（大・小の計2個）</t>
  </si>
  <si>
    <t>スプレー缶</t>
  </si>
  <si>
    <t>フマキラー</t>
  </si>
  <si>
    <t>Aダブルジェット（ピンクのカゴ内）</t>
  </si>
  <si>
    <t>木製ケース</t>
  </si>
  <si>
    <t>丸型・蓋付き（木目調/和風デザイン）</t>
  </si>
  <si>
    <t>衛生・日用品</t>
  </si>
  <si>
    <t>円筒ケース入り爪楊枝、綿棒、ロールペーパー、ウェットティッシュ</t>
  </si>
  <si>
    <t>ワイヤーラック</t>
  </si>
  <si>
    <t>メッシュ状収納ラック（デスク奥の上段、メジャー等収納）</t>
  </si>
  <si>
    <t>予備USBケーブル数本、ACアダプター、青色結束バンド</t>
  </si>
  <si>
    <t>PC周辺機器</t>
  </si>
  <si>
    <t>I-00257</t>
  </si>
  <si>
    <t>I-00258</t>
  </si>
  <si>
    <t>I-00259</t>
  </si>
  <si>
    <t>I-00260</t>
  </si>
  <si>
    <t>I-00261</t>
  </si>
  <si>
    <t>I-00262</t>
  </si>
  <si>
    <t>事務用品</t>
  </si>
  <si>
    <t>I-00263</t>
  </si>
  <si>
    <t>I-00264</t>
  </si>
  <si>
    <t>I-00265</t>
  </si>
  <si>
    <t>I-00266</t>
  </si>
  <si>
    <t>I-00267</t>
  </si>
  <si>
    <t>I-00268</t>
  </si>
  <si>
    <t>I-00269</t>
  </si>
  <si>
    <t>I-00270</t>
  </si>
  <si>
    <t>I-00271</t>
  </si>
  <si>
    <t>卓上小物</t>
  </si>
  <si>
    <t>I-00272</t>
  </si>
  <si>
    <t>I-00273</t>
  </si>
  <si>
    <t>I-00274</t>
  </si>
  <si>
    <t>I-00275</t>
  </si>
  <si>
    <t>I-00276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</si>
  <si>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</si>
  <si>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</si>
  <si>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</si>
  <si>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</si>
  <si>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</si>
  <si>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</si>
  <si>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</si>
  <si>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I-00281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</si>
  <si>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</si>
  <si>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</si>
  <si>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</si>
  <si>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</si>
  <si>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</si>
  <si>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</si>
  <si>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</si>
  <si>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</si>
  <si>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</si>
  <si>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工具・作業用品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</si>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</sst>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B3" sqref="B3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topLeftCell="A22" workbookViewId="0">
      <selection activeCell="H14" sqref="H14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2" spans="1:8">
      <c r="A12" s="29" t="s">
        <v>168</v>
      </c>
      <c r="B12" s="29" t="s">
        <v>169</v>
      </c>
      <c r="C12" s="29" t="s">
        <v>635</v>
      </c>
      <c r="D12" s="29" t="s">
        <v>1138</v>
      </c>
      <c r="E12" s="29" t="s">
        <v>203</v>
      </c>
    </row>
    <row r="13" spans="1:8">
      <c r="A13" s="29" t="s">
        <v>168</v>
      </c>
      <c r="B13" s="29" t="s">
        <v>169</v>
      </c>
      <c r="C13" s="29" t="s">
        <v>635</v>
      </c>
      <c r="D13" s="29" t="s">
        <v>1139</v>
      </c>
      <c r="E13" s="29" t="s">
        <v>1140</v>
      </c>
    </row>
    <row r="14" spans="1:8">
      <c r="A14" t="s">
        <v>168</v>
      </c>
      <c r="B14" t="s">
        <v>169</v>
      </c>
      <c r="C14" s="29" t="s">
        <v>635</v>
      </c>
      <c r="D14" t="s">
        <v>1141</v>
      </c>
      <c r="E14" t="s">
        <v>1142</v>
      </c>
      <c r="H14"/>
    </row>
    <row r="15" spans="1:8">
      <c r="A15" t="s">
        <v>168</v>
      </c>
      <c r="B15" t="s">
        <v>169</v>
      </c>
      <c r="C15" s="29" t="s">
        <v>635</v>
      </c>
      <c r="D15" t="s">
        <v>1143</v>
      </c>
      <c r="E15" t="s">
        <v>1144</v>
      </c>
      <c r="H15"/>
    </row>
    <row r="16" spans="1:8">
      <c r="A16" t="s">
        <v>168</v>
      </c>
      <c r="B16" t="s">
        <v>169</v>
      </c>
      <c r="C16" s="29" t="s">
        <v>635</v>
      </c>
      <c r="D16" t="s">
        <v>1145</v>
      </c>
      <c r="E16" t="s">
        <v>1146</v>
      </c>
      <c r="H16"/>
    </row>
    <row r="17" spans="1:8">
      <c r="A17"/>
      <c r="B17"/>
      <c r="D17"/>
      <c r="E17"/>
      <c r="H17"/>
    </row>
    <row r="18" spans="1:8">
      <c r="A18" t="s">
        <v>164</v>
      </c>
      <c r="B18" t="s">
        <v>172</v>
      </c>
      <c r="C18" t="s">
        <v>4</v>
      </c>
      <c r="D18" t="s">
        <v>253</v>
      </c>
      <c r="E18" t="s">
        <v>203</v>
      </c>
      <c r="H18" t="s">
        <v>254</v>
      </c>
    </row>
    <row r="19" spans="1:8">
      <c r="A19" t="s">
        <v>164</v>
      </c>
      <c r="B19" t="s">
        <v>172</v>
      </c>
      <c r="C19" t="s">
        <v>4</v>
      </c>
      <c r="D19" t="s">
        <v>255</v>
      </c>
      <c r="E19" t="s">
        <v>256</v>
      </c>
      <c r="H19" t="s">
        <v>257</v>
      </c>
    </row>
    <row r="20" spans="1:8">
      <c r="A20" t="s">
        <v>164</v>
      </c>
      <c r="B20" t="s">
        <v>172</v>
      </c>
      <c r="C20" t="s">
        <v>4</v>
      </c>
      <c r="D20" t="s">
        <v>258</v>
      </c>
      <c r="E20" t="s">
        <v>259</v>
      </c>
      <c r="H20" t="s">
        <v>260</v>
      </c>
    </row>
    <row r="21" spans="1:8">
      <c r="A21" t="s">
        <v>164</v>
      </c>
      <c r="B21" t="s">
        <v>172</v>
      </c>
      <c r="C21" t="s">
        <v>4</v>
      </c>
      <c r="D21" t="s">
        <v>261</v>
      </c>
      <c r="E21" t="s">
        <v>262</v>
      </c>
      <c r="H21" t="s">
        <v>263</v>
      </c>
    </row>
    <row r="22" spans="1:8">
      <c r="A22" t="s">
        <v>164</v>
      </c>
      <c r="B22" t="s">
        <v>172</v>
      </c>
      <c r="C22" t="s">
        <v>4</v>
      </c>
      <c r="D22" t="s">
        <v>264</v>
      </c>
      <c r="E22" t="s">
        <v>265</v>
      </c>
      <c r="H22" t="s">
        <v>266</v>
      </c>
    </row>
    <row r="23" spans="1:8">
      <c r="A23" t="s">
        <v>164</v>
      </c>
      <c r="B23" t="s">
        <v>172</v>
      </c>
      <c r="C23" t="s">
        <v>267</v>
      </c>
      <c r="D23" t="s">
        <v>268</v>
      </c>
      <c r="E23" t="s">
        <v>269</v>
      </c>
      <c r="H23" t="s">
        <v>270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1048</v>
      </c>
      <c r="E30" s="29" t="s">
        <v>1061</v>
      </c>
      <c r="H30" s="29" t="s">
        <v>1062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1051</v>
      </c>
      <c r="E31" s="29" t="s">
        <v>1049</v>
      </c>
      <c r="H31" s="29" t="s">
        <v>1050</v>
      </c>
    </row>
    <row r="32" spans="1:8">
      <c r="A32" s="29" t="s">
        <v>1045</v>
      </c>
      <c r="B32" s="29" t="s">
        <v>18</v>
      </c>
      <c r="C32" s="29" t="s">
        <v>635</v>
      </c>
      <c r="D32" s="29" t="s">
        <v>1060</v>
      </c>
      <c r="E32" s="29" t="s">
        <v>1052</v>
      </c>
      <c r="H32" s="29" t="s">
        <v>1053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1054</v>
      </c>
      <c r="E36" s="29" t="s">
        <v>1055</v>
      </c>
    </row>
    <row r="37" spans="1:5">
      <c r="A37" s="29" t="s">
        <v>1046</v>
      </c>
      <c r="B37" s="29" t="s">
        <v>1047</v>
      </c>
      <c r="C37" s="29" t="s">
        <v>635</v>
      </c>
      <c r="D37" s="29" t="s">
        <v>1056</v>
      </c>
      <c r="E37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11" activePane="bottomLeft" state="frozen"/>
      <selection pane="bottomLeft" activeCell="A21" sqref="A21"/>
    </sheetView>
  </sheetViews>
  <sheetFormatPr defaultRowHeight="18.75"/>
  <cols>
    <col min="1" max="1" width="21.5" customWidth="1"/>
    <col min="2" max="2" width="25.125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314"/>
  <sheetViews>
    <sheetView tabSelected="1" zoomScaleNormal="100" workbookViewId="0">
      <pane ySplit="1" topLeftCell="A308" activePane="bottomLeft" state="frozen"/>
      <selection pane="bottomLeft" activeCell="K165" sqref="K165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customWidth="1"/>
    <col min="6" max="6" width="23.625" style="29" customWidth="1"/>
    <col min="7" max="7" width="7.5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10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10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10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10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10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  <row r="283" spans="1:10">
      <c r="A283" s="29" t="s">
        <v>1048</v>
      </c>
      <c r="B283" s="29" t="s">
        <v>635</v>
      </c>
      <c r="C283" s="29" t="s">
        <v>1049</v>
      </c>
      <c r="D283" t="s">
        <v>1107</v>
      </c>
      <c r="E283" t="s">
        <v>1108</v>
      </c>
      <c r="F283" s="29" t="s">
        <v>1063</v>
      </c>
      <c r="G283" t="s">
        <v>1107</v>
      </c>
      <c r="H283" s="29" t="s">
        <v>29</v>
      </c>
      <c r="I283" s="29" t="s">
        <v>1064</v>
      </c>
      <c r="J283" s="29" t="s">
        <v>1065</v>
      </c>
    </row>
    <row r="284" spans="1:10">
      <c r="A284" s="29" t="s">
        <v>1048</v>
      </c>
      <c r="B284" s="29" t="s">
        <v>635</v>
      </c>
      <c r="C284" s="29" t="s">
        <v>1049</v>
      </c>
      <c r="D284" t="s">
        <v>1107</v>
      </c>
      <c r="E284" t="s">
        <v>1109</v>
      </c>
      <c r="F284" s="29" t="s">
        <v>1066</v>
      </c>
      <c r="G284" t="s">
        <v>1107</v>
      </c>
      <c r="H284" s="29" t="s">
        <v>29</v>
      </c>
      <c r="I284" s="29" t="s">
        <v>1067</v>
      </c>
      <c r="J284" s="29" t="s">
        <v>1068</v>
      </c>
    </row>
    <row r="285" spans="1:10">
      <c r="A285" s="29" t="s">
        <v>1048</v>
      </c>
      <c r="B285" s="29" t="s">
        <v>635</v>
      </c>
      <c r="C285" s="29" t="s">
        <v>1049</v>
      </c>
      <c r="D285" t="s">
        <v>1107</v>
      </c>
      <c r="E285" t="s">
        <v>1110</v>
      </c>
      <c r="F285" s="29" t="s">
        <v>1069</v>
      </c>
      <c r="G285" t="s">
        <v>1107</v>
      </c>
      <c r="H285" s="29" t="s">
        <v>29</v>
      </c>
      <c r="I285" s="29" t="s">
        <v>1070</v>
      </c>
    </row>
    <row r="286" spans="1:10">
      <c r="A286" s="29" t="s">
        <v>1048</v>
      </c>
      <c r="B286" s="29" t="s">
        <v>635</v>
      </c>
      <c r="C286" s="29" t="s">
        <v>1049</v>
      </c>
      <c r="D286" t="s">
        <v>1107</v>
      </c>
      <c r="E286" t="s">
        <v>1111</v>
      </c>
      <c r="F286" s="29" t="s">
        <v>1071</v>
      </c>
      <c r="G286" t="s">
        <v>1107</v>
      </c>
      <c r="H286" s="29" t="s">
        <v>29</v>
      </c>
      <c r="I286" s="29" t="s">
        <v>1072</v>
      </c>
    </row>
    <row r="287" spans="1:10">
      <c r="A287" s="29" t="s">
        <v>1048</v>
      </c>
      <c r="B287" s="29" t="s">
        <v>635</v>
      </c>
      <c r="C287" s="29" t="s">
        <v>1049</v>
      </c>
      <c r="D287" t="s">
        <v>1107</v>
      </c>
      <c r="E287" t="s">
        <v>1112</v>
      </c>
      <c r="F287" s="29" t="s">
        <v>1073</v>
      </c>
      <c r="G287" t="s">
        <v>1107</v>
      </c>
      <c r="H287" s="29" t="s">
        <v>29</v>
      </c>
      <c r="I287" s="29" t="s">
        <v>1074</v>
      </c>
    </row>
    <row r="288" spans="1:10">
      <c r="A288" s="29" t="s">
        <v>1048</v>
      </c>
      <c r="B288" s="29" t="s">
        <v>635</v>
      </c>
      <c r="C288" s="29" t="s">
        <v>1049</v>
      </c>
      <c r="D288" t="s">
        <v>1107</v>
      </c>
      <c r="E288" t="s">
        <v>1113</v>
      </c>
      <c r="F288" s="29" t="s">
        <v>1075</v>
      </c>
      <c r="G288" t="s">
        <v>1107</v>
      </c>
      <c r="H288" s="29" t="s">
        <v>29</v>
      </c>
      <c r="I288" s="29" t="s">
        <v>1076</v>
      </c>
    </row>
    <row r="289" spans="1:10">
      <c r="A289" s="29" t="s">
        <v>1048</v>
      </c>
      <c r="B289" s="29" t="s">
        <v>635</v>
      </c>
      <c r="C289" s="29" t="s">
        <v>1049</v>
      </c>
      <c r="D289" t="s">
        <v>1114</v>
      </c>
      <c r="E289" t="s">
        <v>1115</v>
      </c>
      <c r="F289" s="29" t="s">
        <v>1077</v>
      </c>
      <c r="G289" t="s">
        <v>1114</v>
      </c>
      <c r="H289" s="29" t="s">
        <v>29</v>
      </c>
      <c r="I289" s="29" t="s">
        <v>1078</v>
      </c>
    </row>
    <row r="290" spans="1:10">
      <c r="A290" s="29" t="s">
        <v>1048</v>
      </c>
      <c r="B290" s="29" t="s">
        <v>635</v>
      </c>
      <c r="C290" s="29" t="s">
        <v>1049</v>
      </c>
      <c r="D290" t="s">
        <v>1114</v>
      </c>
      <c r="E290" t="s">
        <v>1116</v>
      </c>
      <c r="F290" s="29" t="s">
        <v>1079</v>
      </c>
      <c r="G290" t="s">
        <v>1114</v>
      </c>
      <c r="H290" s="29" t="s">
        <v>29</v>
      </c>
      <c r="I290" s="29" t="s">
        <v>1080</v>
      </c>
    </row>
    <row r="291" spans="1:10">
      <c r="A291" s="29" t="s">
        <v>1048</v>
      </c>
      <c r="B291" s="29" t="s">
        <v>635</v>
      </c>
      <c r="C291" s="29" t="s">
        <v>1049</v>
      </c>
      <c r="D291" t="s">
        <v>1114</v>
      </c>
      <c r="E291" t="s">
        <v>1117</v>
      </c>
      <c r="F291" s="29" t="s">
        <v>1081</v>
      </c>
      <c r="G291" t="s">
        <v>1114</v>
      </c>
      <c r="H291" s="29" t="s">
        <v>29</v>
      </c>
      <c r="I291" s="29" t="s">
        <v>1082</v>
      </c>
    </row>
    <row r="292" spans="1:10">
      <c r="A292" s="29" t="s">
        <v>1048</v>
      </c>
      <c r="B292" s="29" t="s">
        <v>635</v>
      </c>
      <c r="C292" s="29" t="s">
        <v>1049</v>
      </c>
      <c r="D292" t="s">
        <v>1114</v>
      </c>
      <c r="E292" t="s">
        <v>1118</v>
      </c>
      <c r="F292" s="29" t="s">
        <v>167</v>
      </c>
      <c r="G292" t="s">
        <v>1114</v>
      </c>
      <c r="H292" s="29" t="s">
        <v>29</v>
      </c>
      <c r="I292" s="29" t="s">
        <v>1083</v>
      </c>
      <c r="J292" s="29" t="s">
        <v>1084</v>
      </c>
    </row>
    <row r="293" spans="1:10">
      <c r="A293" s="29" t="s">
        <v>1048</v>
      </c>
      <c r="B293" s="29" t="s">
        <v>635</v>
      </c>
      <c r="C293" s="29" t="s">
        <v>1049</v>
      </c>
      <c r="D293" t="s">
        <v>1114</v>
      </c>
      <c r="E293" t="s">
        <v>1119</v>
      </c>
      <c r="F293" s="29" t="s">
        <v>1085</v>
      </c>
      <c r="G293" t="s">
        <v>1114</v>
      </c>
      <c r="H293" s="29" t="s">
        <v>29</v>
      </c>
      <c r="I293" s="29" t="s">
        <v>1086</v>
      </c>
    </row>
    <row r="294" spans="1:10">
      <c r="A294" s="29" t="s">
        <v>1048</v>
      </c>
      <c r="B294" s="29" t="s">
        <v>635</v>
      </c>
      <c r="C294" s="29" t="s">
        <v>1049</v>
      </c>
      <c r="D294" t="s">
        <v>1114</v>
      </c>
      <c r="E294" t="s">
        <v>1120</v>
      </c>
      <c r="F294" s="29" t="s">
        <v>1087</v>
      </c>
      <c r="G294" t="s">
        <v>1114</v>
      </c>
      <c r="H294" s="29" t="s">
        <v>29</v>
      </c>
      <c r="I294" s="29" t="s">
        <v>1088</v>
      </c>
    </row>
    <row r="295" spans="1:10">
      <c r="A295" s="29" t="s">
        <v>1048</v>
      </c>
      <c r="B295" s="29" t="s">
        <v>635</v>
      </c>
      <c r="C295" s="29" t="s">
        <v>1049</v>
      </c>
      <c r="D295" t="s">
        <v>1114</v>
      </c>
      <c r="E295" t="s">
        <v>1121</v>
      </c>
      <c r="F295" s="29" t="s">
        <v>1089</v>
      </c>
      <c r="G295" t="s">
        <v>1114</v>
      </c>
      <c r="H295" s="29" t="s">
        <v>29</v>
      </c>
      <c r="I295" s="29" t="s">
        <v>1090</v>
      </c>
    </row>
    <row r="296" spans="1:10">
      <c r="A296" s="29" t="s">
        <v>1048</v>
      </c>
      <c r="B296" s="29" t="s">
        <v>635</v>
      </c>
      <c r="C296" s="29" t="s">
        <v>1049</v>
      </c>
      <c r="D296" t="s">
        <v>1114</v>
      </c>
      <c r="E296" t="s">
        <v>1122</v>
      </c>
      <c r="F296" s="29" t="s">
        <v>1091</v>
      </c>
      <c r="G296" t="s">
        <v>1114</v>
      </c>
      <c r="H296" s="29" t="s">
        <v>29</v>
      </c>
      <c r="I296" s="29" t="s">
        <v>1092</v>
      </c>
    </row>
    <row r="297" spans="1:10">
      <c r="A297" s="29" t="s">
        <v>1048</v>
      </c>
      <c r="B297" s="29" t="s">
        <v>635</v>
      </c>
      <c r="C297" s="29" t="s">
        <v>1049</v>
      </c>
      <c r="D297" t="s">
        <v>1114</v>
      </c>
      <c r="E297" t="s">
        <v>1123</v>
      </c>
      <c r="F297" s="29" t="s">
        <v>1093</v>
      </c>
      <c r="G297" t="s">
        <v>1114</v>
      </c>
      <c r="H297" s="29" t="s">
        <v>29</v>
      </c>
      <c r="I297" s="29" t="s">
        <v>1094</v>
      </c>
    </row>
    <row r="298" spans="1:10">
      <c r="A298" s="29" t="s">
        <v>1048</v>
      </c>
      <c r="B298" s="29" t="s">
        <v>635</v>
      </c>
      <c r="C298" s="29" t="s">
        <v>1049</v>
      </c>
      <c r="D298" t="s">
        <v>1124</v>
      </c>
      <c r="E298" t="s">
        <v>1125</v>
      </c>
      <c r="F298" s="29" t="s">
        <v>1095</v>
      </c>
      <c r="G298" t="s">
        <v>1124</v>
      </c>
      <c r="H298" s="29" t="s">
        <v>29</v>
      </c>
      <c r="I298" s="29" t="s">
        <v>1096</v>
      </c>
    </row>
    <row r="299" spans="1:10">
      <c r="A299" s="29" t="s">
        <v>1048</v>
      </c>
      <c r="B299" s="29" t="s">
        <v>635</v>
      </c>
      <c r="C299" s="29" t="s">
        <v>1049</v>
      </c>
      <c r="D299" t="s">
        <v>1124</v>
      </c>
      <c r="E299" t="s">
        <v>1126</v>
      </c>
      <c r="F299" s="29" t="s">
        <v>1097</v>
      </c>
      <c r="G299" t="s">
        <v>1124</v>
      </c>
      <c r="H299" s="29" t="s">
        <v>29</v>
      </c>
      <c r="I299" s="29" t="s">
        <v>1098</v>
      </c>
      <c r="J299" s="29" t="s">
        <v>1099</v>
      </c>
    </row>
    <row r="300" spans="1:10">
      <c r="A300" s="29" t="s">
        <v>1048</v>
      </c>
      <c r="B300" s="29" t="s">
        <v>635</v>
      </c>
      <c r="C300" s="29" t="s">
        <v>1049</v>
      </c>
      <c r="D300" t="s">
        <v>1124</v>
      </c>
      <c r="E300" t="s">
        <v>1127</v>
      </c>
      <c r="F300" s="29" t="s">
        <v>1100</v>
      </c>
      <c r="G300" t="s">
        <v>1124</v>
      </c>
      <c r="H300" s="29" t="s">
        <v>29</v>
      </c>
      <c r="I300" s="29" t="s">
        <v>1101</v>
      </c>
    </row>
    <row r="301" spans="1:10">
      <c r="A301" s="29" t="s">
        <v>1048</v>
      </c>
      <c r="B301" s="29" t="s">
        <v>635</v>
      </c>
      <c r="C301" s="29" t="s">
        <v>1049</v>
      </c>
      <c r="D301" t="s">
        <v>1124</v>
      </c>
      <c r="E301" t="s">
        <v>1128</v>
      </c>
      <c r="F301" s="29" t="s">
        <v>1102</v>
      </c>
      <c r="G301" t="s">
        <v>1124</v>
      </c>
      <c r="H301" s="29" t="s">
        <v>29</v>
      </c>
      <c r="I301" s="29" t="s">
        <v>1103</v>
      </c>
    </row>
    <row r="302" spans="1:10">
      <c r="A302" s="29" t="s">
        <v>1048</v>
      </c>
      <c r="B302" s="29" t="s">
        <v>635</v>
      </c>
      <c r="C302" s="29" t="s">
        <v>1049</v>
      </c>
      <c r="D302" t="s">
        <v>1124</v>
      </c>
      <c r="E302" t="s">
        <v>1129</v>
      </c>
      <c r="F302" s="29" t="s">
        <v>1104</v>
      </c>
      <c r="G302" t="s">
        <v>1124</v>
      </c>
      <c r="H302" s="29" t="s">
        <v>29</v>
      </c>
      <c r="I302" s="29" t="s">
        <v>1105</v>
      </c>
    </row>
    <row r="303" spans="1:10">
      <c r="A303" s="29" t="s">
        <v>1048</v>
      </c>
      <c r="B303" s="29" t="s">
        <v>635</v>
      </c>
      <c r="C303" s="29" t="s">
        <v>1049</v>
      </c>
      <c r="D303" t="s">
        <v>1124</v>
      </c>
      <c r="E303" t="s">
        <v>1130</v>
      </c>
      <c r="F303" s="29" t="s">
        <v>393</v>
      </c>
      <c r="G303" t="s">
        <v>1124</v>
      </c>
      <c r="H303" s="29" t="s">
        <v>29</v>
      </c>
      <c r="I303" s="29" t="s">
        <v>1106</v>
      </c>
    </row>
    <row r="304" spans="1:10">
      <c r="A304" s="29" t="s">
        <v>1048</v>
      </c>
      <c r="B304" s="29" t="s">
        <v>635</v>
      </c>
      <c r="C304" s="29" t="s">
        <v>1049</v>
      </c>
      <c r="D304" t="s">
        <v>154</v>
      </c>
      <c r="E304" t="s">
        <v>1131</v>
      </c>
      <c r="F304" s="29" t="s">
        <v>1132</v>
      </c>
      <c r="G304" t="s">
        <v>154</v>
      </c>
      <c r="H304" s="29" t="s">
        <v>29</v>
      </c>
      <c r="I304" s="29" t="s">
        <v>1133</v>
      </c>
    </row>
    <row r="305" spans="1:11">
      <c r="A305" s="29" t="s">
        <v>1048</v>
      </c>
      <c r="B305" s="29" t="s">
        <v>635</v>
      </c>
      <c r="C305" s="29" t="s">
        <v>1049</v>
      </c>
      <c r="D305" t="s">
        <v>1134</v>
      </c>
      <c r="E305" t="s">
        <v>1135</v>
      </c>
      <c r="F305" s="29" t="s">
        <v>1136</v>
      </c>
      <c r="G305" t="s">
        <v>1134</v>
      </c>
      <c r="H305" s="29" t="s">
        <v>29</v>
      </c>
    </row>
    <row r="307" spans="1:11">
      <c r="A307" s="29" t="s">
        <v>1138</v>
      </c>
      <c r="B307" s="29" t="s">
        <v>635</v>
      </c>
      <c r="C307" s="29" t="s">
        <v>203</v>
      </c>
      <c r="D307" t="s">
        <v>1147</v>
      </c>
      <c r="E307" t="s">
        <v>1137</v>
      </c>
      <c r="F307" s="29" t="s">
        <v>1148</v>
      </c>
      <c r="I307" t="s">
        <v>1149</v>
      </c>
    </row>
    <row r="308" spans="1:11">
      <c r="A308" s="29" t="s">
        <v>1138</v>
      </c>
      <c r="B308" s="29" t="s">
        <v>635</v>
      </c>
      <c r="C308" s="29" t="s">
        <v>203</v>
      </c>
      <c r="D308" t="s">
        <v>1147</v>
      </c>
      <c r="E308" t="s">
        <v>1150</v>
      </c>
      <c r="F308" s="29" t="s">
        <v>1151</v>
      </c>
      <c r="I308" t="s">
        <v>1152</v>
      </c>
    </row>
    <row r="309" spans="1:11">
      <c r="A309" s="29" t="s">
        <v>1138</v>
      </c>
      <c r="B309" s="29" t="s">
        <v>635</v>
      </c>
      <c r="C309" s="29" t="s">
        <v>203</v>
      </c>
      <c r="D309" t="s">
        <v>1147</v>
      </c>
      <c r="E309" t="s">
        <v>1153</v>
      </c>
      <c r="F309" s="29" t="s">
        <v>1154</v>
      </c>
      <c r="I309" t="s">
        <v>1155</v>
      </c>
    </row>
    <row r="310" spans="1:11">
      <c r="A310" s="29" t="s">
        <v>1138</v>
      </c>
      <c r="B310" s="29" t="s">
        <v>635</v>
      </c>
      <c r="C310" s="29" t="s">
        <v>203</v>
      </c>
      <c r="D310" t="s">
        <v>1147</v>
      </c>
      <c r="E310" t="s">
        <v>1156</v>
      </c>
      <c r="F310" s="29" t="s">
        <v>1157</v>
      </c>
      <c r="I310" t="s">
        <v>1158</v>
      </c>
      <c r="K310" s="29" t="s">
        <v>1159</v>
      </c>
    </row>
    <row r="311" spans="1:11">
      <c r="A311" s="29" t="s">
        <v>1138</v>
      </c>
      <c r="B311" s="29" t="s">
        <v>635</v>
      </c>
      <c r="C311" s="29" t="s">
        <v>203</v>
      </c>
      <c r="D311" t="s">
        <v>1147</v>
      </c>
      <c r="E311" t="s">
        <v>1160</v>
      </c>
      <c r="F311" s="29" t="s">
        <v>1161</v>
      </c>
      <c r="I311" t="s">
        <v>1162</v>
      </c>
    </row>
    <row r="312" spans="1:11">
      <c r="A312" s="29" t="s">
        <v>1138</v>
      </c>
      <c r="B312" s="29" t="s">
        <v>635</v>
      </c>
      <c r="C312" s="29" t="s">
        <v>203</v>
      </c>
      <c r="D312" t="s">
        <v>1147</v>
      </c>
      <c r="E312" t="s">
        <v>1163</v>
      </c>
      <c r="F312" s="29" t="s">
        <v>1164</v>
      </c>
      <c r="I312" t="s">
        <v>1165</v>
      </c>
    </row>
    <row r="313" spans="1:11">
      <c r="A313" s="29" t="s">
        <v>1138</v>
      </c>
      <c r="B313" s="29" t="s">
        <v>635</v>
      </c>
      <c r="C313" s="29" t="s">
        <v>203</v>
      </c>
      <c r="D313" t="s">
        <v>1147</v>
      </c>
      <c r="E313" t="s">
        <v>1166</v>
      </c>
      <c r="F313" s="29" t="s">
        <v>1167</v>
      </c>
      <c r="I313" t="s">
        <v>1168</v>
      </c>
    </row>
    <row r="314" spans="1:11">
      <c r="A314" s="29" t="s">
        <v>1138</v>
      </c>
      <c r="B314" s="29" t="s">
        <v>635</v>
      </c>
      <c r="C314" s="29" t="s">
        <v>203</v>
      </c>
      <c r="D314" t="s">
        <v>1169</v>
      </c>
      <c r="E314" t="s">
        <v>1170</v>
      </c>
      <c r="F314" s="29" t="s">
        <v>1171</v>
      </c>
      <c r="I314" t="s">
        <v>1172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アイテム項目!$A283</f>
        <v>T-0701</v>
      </c>
      <c r="F288" t="str">
        <f>IFERROR(INDEX(C項目!$E:$E,MATCH(アイテムビューア!$E288,C項目!$D:$D,0)),"")</f>
        <v/>
      </c>
      <c r="G288" t="str">
        <f>アイテム項目!$E283</f>
        <v>I-00257</v>
      </c>
      <c r="H288" t="str">
        <f>アイテム項目!$F283</f>
        <v>メインキーボード</v>
      </c>
      <c r="I288" t="str">
        <f>アイテム項目!$G283</f>
        <v>PC周辺機器</v>
      </c>
      <c r="J288" t="str">
        <f>アイテム項目!$H283</f>
        <v>B</v>
      </c>
      <c r="K288" t="str">
        <f>アイテム項目!$I283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アイテム項目!$A284</f>
        <v>T-0701</v>
      </c>
      <c r="F289" t="str">
        <f>IFERROR(INDEX(C項目!$E:$E,MATCH(アイテムビューア!$E289,C項目!$D:$D,0)),"")</f>
        <v/>
      </c>
      <c r="G289" t="str">
        <f>アイテム項目!$E284</f>
        <v>I-00258</v>
      </c>
      <c r="H289" t="str">
        <f>アイテム項目!$F284</f>
        <v>トラックボールマウス</v>
      </c>
      <c r="I289" t="str">
        <f>アイテム項目!$G284</f>
        <v>PC周辺機器</v>
      </c>
      <c r="J289" t="str">
        <f>アイテム項目!$H284</f>
        <v>B</v>
      </c>
      <c r="K289" t="str">
        <f>アイテム項目!$I284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アイテム項目!$A285</f>
        <v>T-0701</v>
      </c>
      <c r="F290" t="str">
        <f>IFERROR(INDEX(C項目!$E:$E,MATCH(アイテムビューア!$E290,C項目!$D:$D,0)),"")</f>
        <v/>
      </c>
      <c r="G290" t="str">
        <f>アイテム項目!$E285</f>
        <v>I-00259</v>
      </c>
      <c r="H290" t="str">
        <f>アイテム項目!$F285</f>
        <v>サブマウス</v>
      </c>
      <c r="I290" t="str">
        <f>アイテム項目!$G285</f>
        <v>PC周辺機器</v>
      </c>
      <c r="J290" t="str">
        <f>アイテム項目!$H285</f>
        <v>B</v>
      </c>
      <c r="K290" t="str">
        <f>アイテム項目!$I285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アイテム項目!$A286</f>
        <v>T-0701</v>
      </c>
      <c r="F291" t="str">
        <f>IFERROR(INDEX(C項目!$E:$E,MATCH(アイテムビューア!$E291,C項目!$D:$D,0)),"")</f>
        <v/>
      </c>
      <c r="G291" t="str">
        <f>アイテム項目!$E286</f>
        <v>I-00260</v>
      </c>
      <c r="H291" t="str">
        <f>アイテム項目!$F286</f>
        <v>モニター</v>
      </c>
      <c r="I291" t="str">
        <f>アイテム項目!$G286</f>
        <v>PC周辺機器</v>
      </c>
      <c r="J291" t="str">
        <f>アイテム項目!$H286</f>
        <v>B</v>
      </c>
      <c r="K291" t="str">
        <f>アイテム項目!$I286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アイテム項目!$A287</f>
        <v>T-0701</v>
      </c>
      <c r="F292" t="str">
        <f>IFERROR(INDEX(C項目!$E:$E,MATCH(アイテムビューア!$E292,C項目!$D:$D,0)),"")</f>
        <v/>
      </c>
      <c r="G292" t="str">
        <f>アイテム項目!$E287</f>
        <v>I-00261</v>
      </c>
      <c r="H292" t="str">
        <f>アイテム項目!$F287</f>
        <v>USBハブ</v>
      </c>
      <c r="I292" t="str">
        <f>アイテム項目!$G287</f>
        <v>PC周辺機器</v>
      </c>
      <c r="J292" t="str">
        <f>アイテム項目!$H287</f>
        <v>B</v>
      </c>
      <c r="K292" t="str">
        <f>アイテム項目!$I287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アイテム項目!$A288</f>
        <v>T-0701</v>
      </c>
      <c r="F293" t="str">
        <f>IFERROR(INDEX(C項目!$E:$E,MATCH(アイテムビューア!$E293,C項目!$D:$D,0)),"")</f>
        <v/>
      </c>
      <c r="G293" t="str">
        <f>アイテム項目!$E288</f>
        <v>I-00262</v>
      </c>
      <c r="H293" t="str">
        <f>アイテム項目!$F288</f>
        <v>PCステッカー</v>
      </c>
      <c r="I293" t="str">
        <f>アイテム項目!$G288</f>
        <v>PC周辺機器</v>
      </c>
      <c r="J293" t="str">
        <f>アイテム項目!$H288</f>
        <v>B</v>
      </c>
      <c r="K293" t="str">
        <f>アイテム項目!$I288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アイテム項目!$A289</f>
        <v>T-0701</v>
      </c>
      <c r="F294" t="str">
        <f>IFERROR(INDEX(C項目!$E:$E,MATCH(アイテムビューア!$E294,C項目!$D:$D,0)),"")</f>
        <v/>
      </c>
      <c r="G294" t="str">
        <f>アイテム項目!$E289</f>
        <v>I-00263</v>
      </c>
      <c r="H294" t="str">
        <f>アイテム項目!$F289</f>
        <v>カッターマット</v>
      </c>
      <c r="I294" t="str">
        <f>アイテム項目!$G289</f>
        <v>事務用品</v>
      </c>
      <c r="J294" t="str">
        <f>アイテム項目!$H289</f>
        <v>B</v>
      </c>
      <c r="K294" t="str">
        <f>アイテム項目!$I289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アイテム項目!$A290</f>
        <v>T-0701</v>
      </c>
      <c r="F295" t="str">
        <f>IFERROR(INDEX(C項目!$E:$E,MATCH(アイテムビューア!$E295,C項目!$D:$D,0)),"")</f>
        <v/>
      </c>
      <c r="G295" t="str">
        <f>アイテム項目!$E290</f>
        <v>I-00264</v>
      </c>
      <c r="H295" t="str">
        <f>アイテム項目!$F290</f>
        <v>ペン立て</v>
      </c>
      <c r="I295" t="str">
        <f>アイテム項目!$G290</f>
        <v>事務用品</v>
      </c>
      <c r="J295" t="str">
        <f>アイテム項目!$H290</f>
        <v>B</v>
      </c>
      <c r="K295" t="str">
        <f>アイテム項目!$I290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アイテム項目!$A291</f>
        <v>T-0701</v>
      </c>
      <c r="F296" t="str">
        <f>IFERROR(INDEX(C項目!$E:$E,MATCH(アイテムビューア!$E296,C項目!$D:$D,0)),"")</f>
        <v/>
      </c>
      <c r="G296" t="str">
        <f>アイテム項目!$E291</f>
        <v>I-00265</v>
      </c>
      <c r="H296" t="str">
        <f>アイテム項目!$F291</f>
        <v>筆記具・工具</v>
      </c>
      <c r="I296" t="str">
        <f>アイテム項目!$G291</f>
        <v>事務用品</v>
      </c>
      <c r="J296" t="str">
        <f>アイテム項目!$H291</f>
        <v>B</v>
      </c>
      <c r="K296" t="str">
        <f>アイテム項目!$I291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アイテム項目!$A292</f>
        <v>T-0701</v>
      </c>
      <c r="F297" t="str">
        <f>IFERROR(INDEX(C項目!$E:$E,MATCH(アイテムビューア!$E297,C項目!$D:$D,0)),"")</f>
        <v/>
      </c>
      <c r="G297" t="str">
        <f>アイテム項目!$E292</f>
        <v>I-00266</v>
      </c>
      <c r="H297" t="str">
        <f>アイテム項目!$F292</f>
        <v>接着剤</v>
      </c>
      <c r="I297" t="str">
        <f>アイテム項目!$G292</f>
        <v>事務用品</v>
      </c>
      <c r="J297" t="str">
        <f>アイテム項目!$H292</f>
        <v>B</v>
      </c>
      <c r="K297" t="str">
        <f>アイテム項目!$I292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アイテム項目!$A293</f>
        <v>T-0701</v>
      </c>
      <c r="F298" t="str">
        <f>IFERROR(INDEX(C項目!$E:$E,MATCH(アイテムビューア!$E298,C項目!$D:$D,0)),"")</f>
        <v/>
      </c>
      <c r="G298" t="str">
        <f>アイテム項目!$E293</f>
        <v>I-00267</v>
      </c>
      <c r="H298" t="str">
        <f>アイテム項目!$F293</f>
        <v>メモ・ノート類</v>
      </c>
      <c r="I298" t="str">
        <f>アイテム項目!$G293</f>
        <v>事務用品</v>
      </c>
      <c r="J298" t="str">
        <f>アイテム項目!$H293</f>
        <v>B</v>
      </c>
      <c r="K298" t="str">
        <f>アイテム項目!$I293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アイテム項目!$A294</f>
        <v>T-0701</v>
      </c>
      <c r="F299" t="str">
        <f>IFERROR(INDEX(C項目!$E:$E,MATCH(アイテムビューア!$E299,C項目!$D:$D,0)),"")</f>
        <v/>
      </c>
      <c r="G299" t="str">
        <f>アイテム項目!$E294</f>
        <v>I-00268</v>
      </c>
      <c r="H299" t="str">
        <f>アイテム項目!$F294</f>
        <v>付箋</v>
      </c>
      <c r="I299" t="str">
        <f>アイテム項目!$G294</f>
        <v>事務用品</v>
      </c>
      <c r="J299" t="str">
        <f>アイテム項目!$H294</f>
        <v>B</v>
      </c>
      <c r="K299" t="str">
        <f>アイテム項目!$I294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アイテム項目!$A295</f>
        <v>T-0701</v>
      </c>
      <c r="F300" t="str">
        <f>IFERROR(INDEX(C項目!$E:$E,MATCH(アイテムビューア!$E300,C項目!$D:$D,0)),"")</f>
        <v/>
      </c>
      <c r="G300" t="str">
        <f>アイテム項目!$E295</f>
        <v>I-00269</v>
      </c>
      <c r="H300" t="str">
        <f>アイテム項目!$F295</f>
        <v>テープカッター</v>
      </c>
      <c r="I300" t="str">
        <f>アイテム項目!$G295</f>
        <v>事務用品</v>
      </c>
      <c r="J300" t="str">
        <f>アイテム項目!$H295</f>
        <v>B</v>
      </c>
      <c r="K300" t="str">
        <f>アイテム項目!$I295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アイテム項目!$A296</f>
        <v>T-0701</v>
      </c>
      <c r="F301" t="str">
        <f>IFERROR(INDEX(C項目!$E:$E,MATCH(アイテムビューア!$E301,C項目!$D:$D,0)),"")</f>
        <v/>
      </c>
      <c r="G301" t="str">
        <f>アイテム項目!$E296</f>
        <v>I-00270</v>
      </c>
      <c r="H301" t="str">
        <f>アイテム項目!$F296</f>
        <v>パンチ</v>
      </c>
      <c r="I301" t="str">
        <f>アイテム項目!$G296</f>
        <v>事務用品</v>
      </c>
      <c r="J301" t="str">
        <f>アイテム項目!$H296</f>
        <v>B</v>
      </c>
      <c r="K301" t="str">
        <f>アイテム項目!$I296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アイテム項目!$A297</f>
        <v>T-0701</v>
      </c>
      <c r="F302" t="str">
        <f>IFERROR(INDEX(C項目!$E:$E,MATCH(アイテムビューア!$E302,C項目!$D:$D,0)),"")</f>
        <v/>
      </c>
      <c r="G302" t="str">
        <f>アイテム項目!$E297</f>
        <v>I-00271</v>
      </c>
      <c r="H302" t="str">
        <f>アイテム項目!$F297</f>
        <v>マグネットトレイ</v>
      </c>
      <c r="I302" t="str">
        <f>アイテム項目!$G297</f>
        <v>事務用品</v>
      </c>
      <c r="J302" t="str">
        <f>アイテム項目!$H297</f>
        <v>B</v>
      </c>
      <c r="K302" t="str">
        <f>アイテム項目!$I297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アイテム項目!$A298</f>
        <v>T-0701</v>
      </c>
      <c r="F303" t="str">
        <f>IFERROR(INDEX(C項目!$E:$E,MATCH(アイテムビューア!$E303,C項目!$D:$D,0)),"")</f>
        <v/>
      </c>
      <c r="G303" t="str">
        <f>アイテム項目!$E298</f>
        <v>I-00272</v>
      </c>
      <c r="H303" t="str">
        <f>アイテム項目!$F298</f>
        <v>プラスチックカゴ</v>
      </c>
      <c r="I303" t="str">
        <f>アイテム項目!$G298</f>
        <v>卓上小物</v>
      </c>
      <c r="J303" t="str">
        <f>アイテム項目!$H298</f>
        <v>B</v>
      </c>
      <c r="K303" t="str">
        <f>アイテム項目!$I298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アイテム項目!$A299</f>
        <v>T-0701</v>
      </c>
      <c r="F304" t="str">
        <f>IFERROR(INDEX(C項目!$E:$E,MATCH(アイテムビューア!$E304,C項目!$D:$D,0)),"")</f>
        <v/>
      </c>
      <c r="G304" t="str">
        <f>アイテム項目!$E299</f>
        <v>I-00273</v>
      </c>
      <c r="H304" t="str">
        <f>アイテム項目!$F299</f>
        <v>スプレー缶</v>
      </c>
      <c r="I304" t="str">
        <f>アイテム項目!$G299</f>
        <v>卓上小物</v>
      </c>
      <c r="J304" t="str">
        <f>アイテム項目!$H299</f>
        <v>B</v>
      </c>
      <c r="K304" t="str">
        <f>アイテム項目!$I299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アイテム項目!$A300</f>
        <v>T-0701</v>
      </c>
      <c r="F305" t="str">
        <f>IFERROR(INDEX(C項目!$E:$E,MATCH(アイテムビューア!$E305,C項目!$D:$D,0)),"")</f>
        <v/>
      </c>
      <c r="G305" t="str">
        <f>アイテム項目!$E300</f>
        <v>I-00274</v>
      </c>
      <c r="H305" t="str">
        <f>アイテム項目!$F300</f>
        <v>木製ケース</v>
      </c>
      <c r="I305" t="str">
        <f>アイテム項目!$G300</f>
        <v>卓上小物</v>
      </c>
      <c r="J305" t="str">
        <f>アイテム項目!$H300</f>
        <v>B</v>
      </c>
      <c r="K305" t="str">
        <f>アイテム項目!$I300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アイテム項目!$A301</f>
        <v>T-0701</v>
      </c>
      <c r="F306" t="str">
        <f>IFERROR(INDEX(C項目!$E:$E,MATCH(アイテムビューア!$E306,C項目!$D:$D,0)),"")</f>
        <v/>
      </c>
      <c r="G306" t="str">
        <f>アイテム項目!$E301</f>
        <v>I-00275</v>
      </c>
      <c r="H306" t="str">
        <f>アイテム項目!$F301</f>
        <v>衛生・日用品</v>
      </c>
      <c r="I306" t="str">
        <f>アイテム項目!$G301</f>
        <v>卓上小物</v>
      </c>
      <c r="J306" t="str">
        <f>アイテム項目!$H301</f>
        <v>B</v>
      </c>
      <c r="K306" t="str">
        <f>アイテム項目!$I301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アイテム項目!$A302</f>
        <v>T-0701</v>
      </c>
      <c r="F307" t="str">
        <f>IFERROR(INDEX(C項目!$E:$E,MATCH(アイテムビューア!$E307,C項目!$D:$D,0)),"")</f>
        <v/>
      </c>
      <c r="G307" t="str">
        <f>アイテム項目!$E302</f>
        <v>I-00276</v>
      </c>
      <c r="H307" t="str">
        <f>アイテム項目!$F302</f>
        <v>ワイヤーラック</v>
      </c>
      <c r="I307" t="str">
        <f>アイテム項目!$G302</f>
        <v>卓上小物</v>
      </c>
      <c r="J307" t="str">
        <f>アイテム項目!$H302</f>
        <v>B</v>
      </c>
      <c r="K307" t="str">
        <f>アイテム項目!$I302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アイテム項目!$A303</f>
        <v>T-0701</v>
      </c>
      <c r="F308" t="str">
        <f>IFERROR(INDEX(C項目!$E:$E,MATCH(アイテムビューア!$E308,C項目!$D:$D,0)),"")</f>
        <v/>
      </c>
      <c r="G308" t="str">
        <f>アイテム項目!$E303</f>
        <v>I-00277</v>
      </c>
      <c r="H308" t="str">
        <f>アイテム項目!$F303</f>
        <v>ケーブル類</v>
      </c>
      <c r="I308" t="str">
        <f>アイテム項目!$G303</f>
        <v>卓上小物</v>
      </c>
      <c r="J308" t="str">
        <f>アイテム項目!$H303</f>
        <v>B</v>
      </c>
      <c r="K308" t="str">
        <f>アイテム項目!$I303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アイテム項目!$A304</f>
        <v>T-0701</v>
      </c>
      <c r="F309" t="str">
        <f>IFERROR(INDEX(C項目!$E:$E,MATCH(アイテムビューア!$E309,C項目!$D:$D,0)),"")</f>
        <v/>
      </c>
      <c r="G309" t="str">
        <f>アイテム項目!$E304</f>
        <v>I-00278</v>
      </c>
      <c r="H309" t="str">
        <f>アイテム項目!$F304</f>
        <v>小さいアンビル</v>
      </c>
      <c r="I309" t="str">
        <f>アイテム項目!$G304</f>
        <v>工具</v>
      </c>
      <c r="J309" t="str">
        <f>アイテム項目!$H304</f>
        <v>B</v>
      </c>
      <c r="K309" t="str">
        <f>アイテム項目!$I304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アイテム項目!$A305</f>
        <v>T-0701</v>
      </c>
      <c r="F310" t="str">
        <f>IFERROR(INDEX(C項目!$E:$E,MATCH(アイテムビューア!$E310,C項目!$D:$D,0)),"")</f>
        <v/>
      </c>
      <c r="G310" t="str">
        <f>アイテム項目!$E305</f>
        <v>I-00279</v>
      </c>
      <c r="H310" t="str">
        <f>アイテム項目!$F305</f>
        <v>耳かき</v>
      </c>
      <c r="I310" t="str">
        <f>アイテム項目!$G305</f>
        <v>衛生用品</v>
      </c>
      <c r="J310" t="str">
        <f>アイテム項目!$H305</f>
        <v>B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アイテム項目!$A307</f>
        <v>T-0201</v>
      </c>
      <c r="F312" t="str">
        <f>IFERROR(INDEX(C項目!$E:$E,MATCH(アイテムビューア!$E312,C項目!$D:$D,0)),"")</f>
        <v/>
      </c>
      <c r="G312" t="str">
        <f>アイテム項目!$E307</f>
        <v>I-00281</v>
      </c>
      <c r="H312" t="str">
        <f>アイテム項目!$F307</f>
        <v>ハンダゴテステーション</v>
      </c>
      <c r="I312" t="str">
        <f>アイテム項目!$I307</f>
        <v>温度調節ダイヤル・ハンダホルダー・ヘルピングハンズ付きの一体型機器</v>
      </c>
      <c r="J312">
        <f>アイテム項目!$H307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アイテム項目!$A308</f>
        <v>T-0201</v>
      </c>
      <c r="F313" t="str">
        <f>IFERROR(INDEX(C項目!$E:$E,MATCH(アイテムビューア!$E313,C項目!$D:$D,0)),"")</f>
        <v/>
      </c>
      <c r="G313" t="str">
        <f>アイテム項目!$E308</f>
        <v>I-00282</v>
      </c>
      <c r="H313" t="str">
        <f>アイテム項目!$F308</f>
        <v>糸ハンダ</v>
      </c>
      <c r="I313" t="str">
        <f>アイテム項目!$I308</f>
        <v>ハンダゴテステーションのホルダーにセットされているリール</v>
      </c>
      <c r="J313">
        <f>アイテム項目!$H308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アイテム項目!$A309</f>
        <v>T-0201</v>
      </c>
      <c r="F314" t="str">
        <f>IFERROR(INDEX(C項目!$E:$E,MATCH(アイテムビューア!$E314,C項目!$D:$D,0)),"")</f>
        <v/>
      </c>
      <c r="G314" t="str">
        <f>アイテム項目!$E309</f>
        <v>I-00283</v>
      </c>
      <c r="H314" t="str">
        <f>アイテム項目!$F309</f>
        <v>耐熱シリコン作業マット</v>
      </c>
      <c r="I314" t="str">
        <f>アイテム項目!$I309</f>
        <v>水色（上部・右側にパーツ仕切り・ネジ溝付き、中央手前）</v>
      </c>
      <c r="J314">
        <f>アイテム項目!$H309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アイテム項目!$A310</f>
        <v>T-0201</v>
      </c>
      <c r="F315" t="str">
        <f>IFERROR(INDEX(C項目!$E:$E,MATCH(アイテムビューア!$E315,C項目!$D:$D,0)),"")</f>
        <v/>
      </c>
      <c r="G315" t="str">
        <f>アイテム項目!$E310</f>
        <v>I-00284</v>
      </c>
      <c r="H315" t="str">
        <f>アイテム項目!$F310</f>
        <v>ボンド</v>
      </c>
      <c r="I315" t="str">
        <f>アイテム項目!$I310</f>
        <v>コニシ製「ボンド</v>
      </c>
      <c r="J315" t="str">
        <f>アイテム項目!$K310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アイテム項目!$A311</f>
        <v>T-0201</v>
      </c>
      <c r="F316" t="str">
        <f>IFERROR(INDEX(C項目!$E:$E,MATCH(アイテムビューア!$E316,C項目!$D:$D,0)),"")</f>
        <v/>
      </c>
      <c r="G316" t="str">
        <f>アイテム項目!$E311</f>
        <v>I-00285</v>
      </c>
      <c r="H316" t="str">
        <f>アイテム項目!$F311</f>
        <v>ハサミ</v>
      </c>
      <c r="I316" t="str">
        <f>アイテム項目!$I311</f>
        <v>事務用ハサミ（黒・茶系ハンドル、白スタンド内）</v>
      </c>
      <c r="J316">
        <f>アイテム項目!$H311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アイテム項目!$A312</f>
        <v>T-0201</v>
      </c>
      <c r="F317" t="str">
        <f>IFERROR(INDEX(C項目!$E:$E,MATCH(アイテムビューア!$E317,C項目!$D:$D,0)),"")</f>
        <v/>
      </c>
      <c r="G317" t="str">
        <f>アイテム項目!$E312</f>
        <v>I-00286</v>
      </c>
      <c r="H317" t="str">
        <f>アイテム項目!$F312</f>
        <v>ペン型精密工具</v>
      </c>
      <c r="I317" t="str">
        <f>アイテム項目!$I312</f>
        <v>黒色のペン型工具（白スタンド内）</v>
      </c>
      <c r="J317">
        <f>アイテム項目!$H312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アイテム項目!$A313</f>
        <v>T-0201</v>
      </c>
      <c r="F318" t="str">
        <f>IFERROR(INDEX(C項目!$E:$E,MATCH(アイテムビューア!$E318,C項目!$D:$D,0)),"")</f>
        <v/>
      </c>
      <c r="G318" t="str">
        <f>アイテム項目!$E313</f>
        <v>I-00287</v>
      </c>
      <c r="H318" t="str">
        <f>アイテム項目!$F313</f>
        <v>小型カッター</v>
      </c>
      <c r="I318" t="str">
        <f>アイテム項目!$I313</f>
        <v>金属製、または小型のブレード工具（白スタンド内）</v>
      </c>
      <c r="J318">
        <f>アイテム項目!$H313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アイテム項目!$A314</f>
        <v>T-0201</v>
      </c>
      <c r="F319" t="str">
        <f>IFERROR(INDEX(C項目!$E:$E,MATCH(アイテムビューア!$E319,C項目!$D:$D,0)),"")</f>
        <v/>
      </c>
      <c r="G319" t="str">
        <f>アイテム項目!$E314</f>
        <v>I-00288</v>
      </c>
      <c r="H319" t="str">
        <f>アイテム項目!$F314</f>
        <v>卓上マルチスタンド</v>
      </c>
      <c r="I319" t="str">
        <f>アイテム項目!$I314</f>
        <v>白色、4つの仕切りがあるプラスチック製小物入れ</v>
      </c>
      <c r="J319">
        <f>アイテム項目!$H314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>
        <f>アイテム項目!$A315</f>
        <v>0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2026-07-10T13:03:17Z</dcterms:modified>
</cp:coreProperties>
</file>