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I\washitsu-db\"/>
    </mc:Choice>
  </mc:AlternateContent>
  <xr:revisionPtr revIDLastSave="0" documentId="13_ncr:1_{90ED1095-8C08-44E2-B8D8-802ED7F15A59}" xr6:coauthVersionLast="47" xr6:coauthVersionMax="47" xr10:uidLastSave="{00000000-0000-0000-0000-000000000000}"/>
  <bookViews>
    <workbookView xWindow="1200" yWindow="1035" windowWidth="26385" windowHeight="13440" firstSheet="2" activeTab="7" xr2:uid="{00000000-000D-0000-FFFF-FFFF00000000}"/>
  </bookViews>
  <sheets>
    <sheet name="作業部屋見取り図" sheetId="1" r:id="rId1"/>
    <sheet name="ラフ配置" sheetId="2" r:id="rId2"/>
    <sheet name="ラフ配置南" sheetId="3" r:id="rId3"/>
    <sheet name="アイテムデータ" sheetId="4" r:id="rId4"/>
    <sheet name="S項目" sheetId="5" r:id="rId5"/>
    <sheet name="T項目" sheetId="6" r:id="rId6"/>
    <sheet name="C項目" sheetId="7" r:id="rId7"/>
    <sheet name="アイテム入力" sheetId="13" r:id="rId8"/>
    <sheet name="アイテム項目" sheetId="8" r:id="rId9"/>
    <sheet name="ネジDB" sheetId="9" r:id="rId10"/>
    <sheet name="アイテムビューア" sheetId="10" r:id="rId11"/>
    <sheet name="全体配置" sheetId="11" r:id="rId12"/>
    <sheet name="列名一覧" sheetId="12" r:id="rId13"/>
  </sheets>
  <calcPr calcId="191029"/>
</workbook>
</file>

<file path=xl/calcChain.xml><?xml version="1.0" encoding="utf-8"?>
<calcChain xmlns="http://schemas.openxmlformats.org/spreadsheetml/2006/main">
  <c r="Z24" i="13" l="1"/>
  <c r="Y24" i="13"/>
  <c r="V24" i="13"/>
  <c r="U24" i="13"/>
  <c r="T24" i="13"/>
  <c r="S24" i="13"/>
  <c r="R24" i="13"/>
  <c r="AA24" i="13" s="1"/>
  <c r="Q24" i="13"/>
  <c r="P24" i="13"/>
  <c r="O24" i="13"/>
  <c r="N24" i="13"/>
  <c r="L24" i="13"/>
  <c r="K24" i="13"/>
  <c r="E24" i="13"/>
  <c r="D24" i="13"/>
  <c r="C24" i="13"/>
  <c r="A24" i="13"/>
  <c r="Z23" i="13"/>
  <c r="Y23" i="13"/>
  <c r="V23" i="13"/>
  <c r="U23" i="13"/>
  <c r="T23" i="13"/>
  <c r="S23" i="13"/>
  <c r="R23" i="13"/>
  <c r="AA23" i="13" s="1"/>
  <c r="Q23" i="13"/>
  <c r="P23" i="13"/>
  <c r="O23" i="13"/>
  <c r="N23" i="13"/>
  <c r="L23" i="13"/>
  <c r="K23" i="13"/>
  <c r="E23" i="13"/>
  <c r="D23" i="13"/>
  <c r="C23" i="13"/>
  <c r="A23" i="13"/>
  <c r="Z22" i="13"/>
  <c r="Y22" i="13"/>
  <c r="V22" i="13"/>
  <c r="U22" i="13"/>
  <c r="T22" i="13"/>
  <c r="S22" i="13"/>
  <c r="R22" i="13"/>
  <c r="AA22" i="13" s="1"/>
  <c r="Q22" i="13"/>
  <c r="P22" i="13"/>
  <c r="O22" i="13"/>
  <c r="N22" i="13"/>
  <c r="L22" i="13"/>
  <c r="K22" i="13"/>
  <c r="E22" i="13"/>
  <c r="D22" i="13"/>
  <c r="C22" i="13"/>
  <c r="A22" i="13"/>
  <c r="Z21" i="13"/>
  <c r="Y21" i="13"/>
  <c r="V21" i="13"/>
  <c r="U21" i="13"/>
  <c r="T21" i="13"/>
  <c r="S21" i="13"/>
  <c r="R21" i="13"/>
  <c r="AA21" i="13" s="1"/>
  <c r="Q21" i="13"/>
  <c r="P21" i="13"/>
  <c r="O21" i="13"/>
  <c r="N21" i="13"/>
  <c r="L21" i="13"/>
  <c r="K21" i="13"/>
  <c r="E21" i="13"/>
  <c r="D21" i="13"/>
  <c r="C21" i="13"/>
  <c r="A21" i="13"/>
  <c r="AA20" i="13"/>
  <c r="Z20" i="13"/>
  <c r="Y20" i="13"/>
  <c r="V20" i="13"/>
  <c r="U20" i="13"/>
  <c r="T20" i="13"/>
  <c r="S20" i="13"/>
  <c r="R20" i="13"/>
  <c r="Q20" i="13"/>
  <c r="P20" i="13"/>
  <c r="O20" i="13"/>
  <c r="N20" i="13"/>
  <c r="L20" i="13"/>
  <c r="K20" i="13"/>
  <c r="E20" i="13"/>
  <c r="D20" i="13"/>
  <c r="C20" i="13"/>
  <c r="A20" i="13"/>
  <c r="Z19" i="13"/>
  <c r="Y19" i="13"/>
  <c r="V19" i="13"/>
  <c r="U19" i="13"/>
  <c r="T19" i="13"/>
  <c r="S19" i="13"/>
  <c r="R19" i="13"/>
  <c r="AA19" i="13" s="1"/>
  <c r="Q19" i="13"/>
  <c r="P19" i="13"/>
  <c r="O19" i="13"/>
  <c r="N19" i="13"/>
  <c r="L19" i="13"/>
  <c r="K19" i="13"/>
  <c r="E19" i="13"/>
  <c r="D19" i="13"/>
  <c r="C19" i="13"/>
  <c r="A19" i="13"/>
  <c r="Z18" i="13"/>
  <c r="Y18" i="13"/>
  <c r="V18" i="13"/>
  <c r="U18" i="13"/>
  <c r="T18" i="13"/>
  <c r="S18" i="13"/>
  <c r="R18" i="13"/>
  <c r="AA18" i="13" s="1"/>
  <c r="Q18" i="13"/>
  <c r="P18" i="13"/>
  <c r="O18" i="13"/>
  <c r="N18" i="13"/>
  <c r="L18" i="13"/>
  <c r="K18" i="13"/>
  <c r="E18" i="13"/>
  <c r="D18" i="13"/>
  <c r="C18" i="13"/>
  <c r="A18" i="13"/>
  <c r="Z17" i="13"/>
  <c r="Y17" i="13"/>
  <c r="V17" i="13"/>
  <c r="U17" i="13"/>
  <c r="T17" i="13"/>
  <c r="S17" i="13"/>
  <c r="R17" i="13"/>
  <c r="AA17" i="13" s="1"/>
  <c r="Q17" i="13"/>
  <c r="P17" i="13"/>
  <c r="O17" i="13"/>
  <c r="N17" i="13"/>
  <c r="L17" i="13"/>
  <c r="K17" i="13"/>
  <c r="E17" i="13"/>
  <c r="D17" i="13"/>
  <c r="C17" i="13"/>
  <c r="A17" i="13"/>
  <c r="Z16" i="13"/>
  <c r="Y16" i="13"/>
  <c r="V16" i="13"/>
  <c r="U16" i="13"/>
  <c r="T16" i="13"/>
  <c r="S16" i="13"/>
  <c r="R16" i="13"/>
  <c r="AA16" i="13" s="1"/>
  <c r="Q16" i="13"/>
  <c r="P16" i="13"/>
  <c r="O16" i="13"/>
  <c r="N16" i="13"/>
  <c r="L16" i="13"/>
  <c r="K16" i="13"/>
  <c r="E16" i="13"/>
  <c r="D16" i="13"/>
  <c r="C16" i="13"/>
  <c r="A16" i="13"/>
  <c r="Z15" i="13"/>
  <c r="Y15" i="13"/>
  <c r="V15" i="13"/>
  <c r="U15" i="13"/>
  <c r="T15" i="13"/>
  <c r="S15" i="13"/>
  <c r="R15" i="13"/>
  <c r="AA15" i="13" s="1"/>
  <c r="Q15" i="13"/>
  <c r="P15" i="13"/>
  <c r="O15" i="13"/>
  <c r="N15" i="13"/>
  <c r="L15" i="13"/>
  <c r="K15" i="13"/>
  <c r="E15" i="13"/>
  <c r="D15" i="13"/>
  <c r="C15" i="13"/>
  <c r="A15" i="13"/>
  <c r="Z14" i="13"/>
  <c r="Y14" i="13"/>
  <c r="V14" i="13"/>
  <c r="U14" i="13"/>
  <c r="T14" i="13"/>
  <c r="S14" i="13"/>
  <c r="R14" i="13"/>
  <c r="AA14" i="13" s="1"/>
  <c r="Q14" i="13"/>
  <c r="P14" i="13"/>
  <c r="O14" i="13"/>
  <c r="N14" i="13"/>
  <c r="L14" i="13"/>
  <c r="K14" i="13"/>
  <c r="E14" i="13"/>
  <c r="D14" i="13"/>
  <c r="C14" i="13"/>
  <c r="A14" i="13"/>
  <c r="Z13" i="13"/>
  <c r="Y13" i="13"/>
  <c r="V13" i="13"/>
  <c r="U13" i="13"/>
  <c r="T13" i="13"/>
  <c r="S13" i="13"/>
  <c r="R13" i="13"/>
  <c r="AA13" i="13" s="1"/>
  <c r="Q13" i="13"/>
  <c r="P13" i="13"/>
  <c r="O13" i="13"/>
  <c r="N13" i="13"/>
  <c r="L13" i="13"/>
  <c r="K13" i="13"/>
  <c r="E13" i="13"/>
  <c r="D13" i="13"/>
  <c r="C13" i="13"/>
  <c r="A13" i="13"/>
  <c r="Z12" i="13"/>
  <c r="Y12" i="13"/>
  <c r="V12" i="13"/>
  <c r="U12" i="13"/>
  <c r="T12" i="13"/>
  <c r="S12" i="13"/>
  <c r="R12" i="13"/>
  <c r="AA12" i="13" s="1"/>
  <c r="Q12" i="13"/>
  <c r="P12" i="13"/>
  <c r="O12" i="13"/>
  <c r="N12" i="13"/>
  <c r="L12" i="13"/>
  <c r="K12" i="13"/>
  <c r="E12" i="13"/>
  <c r="D12" i="13"/>
  <c r="C12" i="13"/>
  <c r="A12" i="13"/>
  <c r="Z11" i="13"/>
  <c r="Y11" i="13"/>
  <c r="V11" i="13"/>
  <c r="U11" i="13"/>
  <c r="T11" i="13"/>
  <c r="S11" i="13"/>
  <c r="R11" i="13"/>
  <c r="AA11" i="13" s="1"/>
  <c r="Q11" i="13"/>
  <c r="P11" i="13"/>
  <c r="O11" i="13"/>
  <c r="N11" i="13"/>
  <c r="L11" i="13"/>
  <c r="K11" i="13"/>
  <c r="E11" i="13"/>
  <c r="D11" i="13"/>
  <c r="C11" i="13"/>
  <c r="A11" i="13"/>
  <c r="Z10" i="13"/>
  <c r="Y10" i="13"/>
  <c r="V10" i="13"/>
  <c r="U10" i="13"/>
  <c r="T10" i="13"/>
  <c r="S10" i="13"/>
  <c r="R10" i="13"/>
  <c r="AA10" i="13" s="1"/>
  <c r="Q10" i="13"/>
  <c r="P10" i="13"/>
  <c r="O10" i="13"/>
  <c r="N10" i="13"/>
  <c r="L10" i="13"/>
  <c r="K10" i="13"/>
  <c r="E10" i="13"/>
  <c r="D10" i="13"/>
  <c r="C10" i="13"/>
  <c r="A10" i="13"/>
  <c r="Z9" i="13"/>
  <c r="Y9" i="13"/>
  <c r="V9" i="13"/>
  <c r="U9" i="13"/>
  <c r="T9" i="13"/>
  <c r="S9" i="13"/>
  <c r="R9" i="13"/>
  <c r="AA9" i="13" s="1"/>
  <c r="Q9" i="13"/>
  <c r="P9" i="13"/>
  <c r="O9" i="13"/>
  <c r="N9" i="13"/>
  <c r="L9" i="13"/>
  <c r="K9" i="13"/>
  <c r="E9" i="13"/>
  <c r="D9" i="13"/>
  <c r="C9" i="13"/>
  <c r="A9" i="13"/>
  <c r="Z8" i="13"/>
  <c r="Y8" i="13"/>
  <c r="V8" i="13"/>
  <c r="U8" i="13"/>
  <c r="T8" i="13"/>
  <c r="S8" i="13"/>
  <c r="R8" i="13"/>
  <c r="AA8" i="13" s="1"/>
  <c r="Q8" i="13"/>
  <c r="P8" i="13"/>
  <c r="O8" i="13"/>
  <c r="N8" i="13"/>
  <c r="L8" i="13"/>
  <c r="K8" i="13"/>
  <c r="E8" i="13"/>
  <c r="D8" i="13"/>
  <c r="C8" i="13"/>
  <c r="A8" i="13"/>
  <c r="Z7" i="13"/>
  <c r="Y7" i="13"/>
  <c r="V7" i="13"/>
  <c r="U7" i="13"/>
  <c r="T7" i="13"/>
  <c r="S7" i="13"/>
  <c r="R7" i="13"/>
  <c r="AA7" i="13" s="1"/>
  <c r="Q7" i="13"/>
  <c r="P7" i="13"/>
  <c r="O7" i="13"/>
  <c r="N7" i="13"/>
  <c r="L7" i="13"/>
  <c r="K7" i="13"/>
  <c r="E7" i="13"/>
  <c r="D7" i="13"/>
  <c r="C7" i="13"/>
  <c r="A7" i="13"/>
  <c r="Z6" i="13"/>
  <c r="Y6" i="13"/>
  <c r="V6" i="13"/>
  <c r="U6" i="13"/>
  <c r="T6" i="13"/>
  <c r="S6" i="13"/>
  <c r="R6" i="13"/>
  <c r="AA6" i="13" s="1"/>
  <c r="Q6" i="13"/>
  <c r="P6" i="13"/>
  <c r="O6" i="13"/>
  <c r="N6" i="13"/>
  <c r="L6" i="13"/>
  <c r="K6" i="13"/>
  <c r="E6" i="13"/>
  <c r="D6" i="13"/>
  <c r="C6" i="13"/>
  <c r="A6" i="13"/>
  <c r="V5" i="13"/>
  <c r="U5" i="13"/>
  <c r="T5" i="13"/>
  <c r="S5" i="13"/>
  <c r="Q5" i="13"/>
  <c r="P5" i="13"/>
  <c r="O5" i="13"/>
  <c r="N5" i="13"/>
  <c r="L5" i="13"/>
  <c r="Z5" i="13" s="1"/>
  <c r="K5" i="13"/>
  <c r="Y5" i="13" s="1"/>
  <c r="E5" i="13"/>
  <c r="D5" i="13"/>
  <c r="C5" i="13"/>
  <c r="A5" i="13"/>
  <c r="R5" i="13" s="1"/>
  <c r="AA5" i="13" s="1"/>
  <c r="K492" i="10"/>
  <c r="J492" i="10"/>
  <c r="I492" i="10"/>
  <c r="H492" i="10"/>
  <c r="G492" i="10"/>
  <c r="E492" i="10"/>
  <c r="F492" i="10" s="1"/>
  <c r="C492" i="10"/>
  <c r="A492" i="10" s="1"/>
  <c r="B492" i="10" s="1"/>
  <c r="K491" i="10"/>
  <c r="J491" i="10"/>
  <c r="I491" i="10"/>
  <c r="H491" i="10"/>
  <c r="G491" i="10"/>
  <c r="E491" i="10"/>
  <c r="K490" i="10"/>
  <c r="J490" i="10"/>
  <c r="I490" i="10"/>
  <c r="H490" i="10"/>
  <c r="G490" i="10"/>
  <c r="F490" i="10"/>
  <c r="E490" i="10"/>
  <c r="C490" i="10"/>
  <c r="D490" i="10" s="1"/>
  <c r="A490" i="10"/>
  <c r="B490" i="10" s="1"/>
  <c r="K489" i="10"/>
  <c r="J489" i="10"/>
  <c r="I489" i="10"/>
  <c r="H489" i="10"/>
  <c r="G489" i="10"/>
  <c r="E489" i="10"/>
  <c r="F489" i="10" s="1"/>
  <c r="C489" i="10"/>
  <c r="K488" i="10"/>
  <c r="J488" i="10"/>
  <c r="I488" i="10"/>
  <c r="H488" i="10"/>
  <c r="G488" i="10"/>
  <c r="E488" i="10"/>
  <c r="C488" i="10" s="1"/>
  <c r="K487" i="10"/>
  <c r="J487" i="10"/>
  <c r="I487" i="10"/>
  <c r="H487" i="10"/>
  <c r="G487" i="10"/>
  <c r="E487" i="10"/>
  <c r="K486" i="10"/>
  <c r="J486" i="10"/>
  <c r="I486" i="10"/>
  <c r="H486" i="10"/>
  <c r="G486" i="10"/>
  <c r="E486" i="10"/>
  <c r="C486" i="10" s="1"/>
  <c r="K485" i="10"/>
  <c r="J485" i="10"/>
  <c r="I485" i="10"/>
  <c r="H485" i="10"/>
  <c r="G485" i="10"/>
  <c r="E485" i="10"/>
  <c r="F485" i="10" s="1"/>
  <c r="K484" i="10"/>
  <c r="J484" i="10"/>
  <c r="I484" i="10"/>
  <c r="H484" i="10"/>
  <c r="G484" i="10"/>
  <c r="E484" i="10"/>
  <c r="F484" i="10" s="1"/>
  <c r="K483" i="10"/>
  <c r="J483" i="10"/>
  <c r="I483" i="10"/>
  <c r="H483" i="10"/>
  <c r="G483" i="10"/>
  <c r="E483" i="10"/>
  <c r="K482" i="10"/>
  <c r="J482" i="10"/>
  <c r="I482" i="10"/>
  <c r="H482" i="10"/>
  <c r="G482" i="10"/>
  <c r="E482" i="10"/>
  <c r="F482" i="10" s="1"/>
  <c r="C482" i="10"/>
  <c r="D482" i="10" s="1"/>
  <c r="K481" i="10"/>
  <c r="J481" i="10"/>
  <c r="I481" i="10"/>
  <c r="H481" i="10"/>
  <c r="G481" i="10"/>
  <c r="E481" i="10"/>
  <c r="F481" i="10" s="1"/>
  <c r="K480" i="10"/>
  <c r="J480" i="10"/>
  <c r="I480" i="10"/>
  <c r="H480" i="10"/>
  <c r="G480" i="10"/>
  <c r="E480" i="10"/>
  <c r="C480" i="10" s="1"/>
  <c r="K479" i="10"/>
  <c r="J479" i="10"/>
  <c r="I479" i="10"/>
  <c r="H479" i="10"/>
  <c r="G479" i="10"/>
  <c r="E479" i="10"/>
  <c r="K478" i="10"/>
  <c r="J478" i="10"/>
  <c r="I478" i="10"/>
  <c r="H478" i="10"/>
  <c r="G478" i="10"/>
  <c r="E478" i="10"/>
  <c r="K477" i="10"/>
  <c r="J477" i="10"/>
  <c r="I477" i="10"/>
  <c r="H477" i="10"/>
  <c r="G477" i="10"/>
  <c r="F477" i="10"/>
  <c r="E477" i="10"/>
  <c r="C477" i="10"/>
  <c r="K476" i="10"/>
  <c r="J476" i="10"/>
  <c r="I476" i="10"/>
  <c r="H476" i="10"/>
  <c r="G476" i="10"/>
  <c r="F476" i="10"/>
  <c r="E476" i="10"/>
  <c r="C476" i="10"/>
  <c r="K475" i="10"/>
  <c r="J475" i="10"/>
  <c r="I475" i="10"/>
  <c r="H475" i="10"/>
  <c r="G475" i="10"/>
  <c r="F475" i="10"/>
  <c r="E475" i="10"/>
  <c r="C475" i="10" s="1"/>
  <c r="D475" i="10" s="1"/>
  <c r="A475" i="10"/>
  <c r="B475" i="10" s="1"/>
  <c r="K474" i="10"/>
  <c r="J474" i="10"/>
  <c r="I474" i="10"/>
  <c r="H474" i="10"/>
  <c r="G474" i="10"/>
  <c r="F474" i="10"/>
  <c r="E474" i="10"/>
  <c r="C474" i="10"/>
  <c r="D474" i="10" s="1"/>
  <c r="A474" i="10"/>
  <c r="B474" i="10" s="1"/>
  <c r="K473" i="10"/>
  <c r="J473" i="10"/>
  <c r="I473" i="10"/>
  <c r="H473" i="10"/>
  <c r="G473" i="10"/>
  <c r="E473" i="10"/>
  <c r="F473" i="10" s="1"/>
  <c r="C473" i="10"/>
  <c r="K472" i="10"/>
  <c r="J472" i="10"/>
  <c r="I472" i="10"/>
  <c r="H472" i="10"/>
  <c r="G472" i="10"/>
  <c r="E472" i="10"/>
  <c r="C472" i="10" s="1"/>
  <c r="K471" i="10"/>
  <c r="J471" i="10"/>
  <c r="I471" i="10"/>
  <c r="H471" i="10"/>
  <c r="G471" i="10"/>
  <c r="E471" i="10"/>
  <c r="K470" i="10"/>
  <c r="J470" i="10"/>
  <c r="I470" i="10"/>
  <c r="H470" i="10"/>
  <c r="G470" i="10"/>
  <c r="E470" i="10"/>
  <c r="K469" i="10"/>
  <c r="J469" i="10"/>
  <c r="I469" i="10"/>
  <c r="H469" i="10"/>
  <c r="G469" i="10"/>
  <c r="E469" i="10"/>
  <c r="F469" i="10" s="1"/>
  <c r="K468" i="10"/>
  <c r="J468" i="10"/>
  <c r="I468" i="10"/>
  <c r="H468" i="10"/>
  <c r="G468" i="10"/>
  <c r="E468" i="10"/>
  <c r="F468" i="10" s="1"/>
  <c r="K467" i="10"/>
  <c r="J467" i="10"/>
  <c r="I467" i="10"/>
  <c r="H467" i="10"/>
  <c r="G467" i="10"/>
  <c r="E467" i="10"/>
  <c r="C467" i="10" s="1"/>
  <c r="D467" i="10" s="1"/>
  <c r="A467" i="10"/>
  <c r="B467" i="10" s="1"/>
  <c r="K466" i="10"/>
  <c r="J466" i="10"/>
  <c r="I466" i="10"/>
  <c r="H466" i="10"/>
  <c r="G466" i="10"/>
  <c r="E466" i="10"/>
  <c r="F466" i="10" s="1"/>
  <c r="K465" i="10"/>
  <c r="J465" i="10"/>
  <c r="I465" i="10"/>
  <c r="H465" i="10"/>
  <c r="G465" i="10"/>
  <c r="F465" i="10"/>
  <c r="E465" i="10"/>
  <c r="C465" i="10" s="1"/>
  <c r="K464" i="10"/>
  <c r="J464" i="10"/>
  <c r="I464" i="10"/>
  <c r="H464" i="10"/>
  <c r="G464" i="10"/>
  <c r="F464" i="10"/>
  <c r="E464" i="10"/>
  <c r="C464" i="10" s="1"/>
  <c r="K463" i="10"/>
  <c r="J463" i="10"/>
  <c r="I463" i="10"/>
  <c r="H463" i="10"/>
  <c r="G463" i="10"/>
  <c r="E463" i="10"/>
  <c r="K462" i="10"/>
  <c r="J462" i="10"/>
  <c r="I462" i="10"/>
  <c r="H462" i="10"/>
  <c r="G462" i="10"/>
  <c r="E462" i="10"/>
  <c r="K461" i="10"/>
  <c r="J461" i="10"/>
  <c r="I461" i="10"/>
  <c r="H461" i="10"/>
  <c r="G461" i="10"/>
  <c r="E461" i="10"/>
  <c r="F461" i="10" s="1"/>
  <c r="C461" i="10"/>
  <c r="K460" i="10"/>
  <c r="J460" i="10"/>
  <c r="I460" i="10"/>
  <c r="H460" i="10"/>
  <c r="G460" i="10"/>
  <c r="E460" i="10"/>
  <c r="F460" i="10" s="1"/>
  <c r="C460" i="10"/>
  <c r="K459" i="10"/>
  <c r="J459" i="10"/>
  <c r="I459" i="10"/>
  <c r="H459" i="10"/>
  <c r="G459" i="10"/>
  <c r="E459" i="10"/>
  <c r="K458" i="10"/>
  <c r="J458" i="10"/>
  <c r="I458" i="10"/>
  <c r="H458" i="10"/>
  <c r="G458" i="10"/>
  <c r="F458" i="10"/>
  <c r="E458" i="10"/>
  <c r="C458" i="10"/>
  <c r="D458" i="10" s="1"/>
  <c r="A458" i="10"/>
  <c r="B458" i="10" s="1"/>
  <c r="K457" i="10"/>
  <c r="J457" i="10"/>
  <c r="I457" i="10"/>
  <c r="H457" i="10"/>
  <c r="G457" i="10"/>
  <c r="E457" i="10"/>
  <c r="F457" i="10" s="1"/>
  <c r="C457" i="10"/>
  <c r="A457" i="10" s="1"/>
  <c r="B457" i="10" s="1"/>
  <c r="K456" i="10"/>
  <c r="J456" i="10"/>
  <c r="I456" i="10"/>
  <c r="H456" i="10"/>
  <c r="G456" i="10"/>
  <c r="E456" i="10"/>
  <c r="C456" i="10" s="1"/>
  <c r="K455" i="10"/>
  <c r="J455" i="10"/>
  <c r="I455" i="10"/>
  <c r="H455" i="10"/>
  <c r="G455" i="10"/>
  <c r="E455" i="10"/>
  <c r="K454" i="10"/>
  <c r="J454" i="10"/>
  <c r="I454" i="10"/>
  <c r="H454" i="10"/>
  <c r="G454" i="10"/>
  <c r="E454" i="10"/>
  <c r="K453" i="10"/>
  <c r="J453" i="10"/>
  <c r="I453" i="10"/>
  <c r="H453" i="10"/>
  <c r="G453" i="10"/>
  <c r="F453" i="10"/>
  <c r="E453" i="10"/>
  <c r="C453" i="10" s="1"/>
  <c r="K452" i="10"/>
  <c r="J452" i="10"/>
  <c r="I452" i="10"/>
  <c r="H452" i="10"/>
  <c r="G452" i="10"/>
  <c r="F452" i="10"/>
  <c r="E452" i="10"/>
  <c r="C452" i="10" s="1"/>
  <c r="K451" i="10"/>
  <c r="J451" i="10"/>
  <c r="I451" i="10"/>
  <c r="H451" i="10"/>
  <c r="G451" i="10"/>
  <c r="F451" i="10"/>
  <c r="E451" i="10"/>
  <c r="C451" i="10" s="1"/>
  <c r="D451" i="10" s="1"/>
  <c r="K450" i="10"/>
  <c r="J450" i="10"/>
  <c r="I450" i="10"/>
  <c r="H450" i="10"/>
  <c r="G450" i="10"/>
  <c r="F450" i="10"/>
  <c r="E450" i="10"/>
  <c r="C450" i="10"/>
  <c r="D450" i="10" s="1"/>
  <c r="A450" i="10"/>
  <c r="B450" i="10" s="1"/>
  <c r="K449" i="10"/>
  <c r="J449" i="10"/>
  <c r="I449" i="10"/>
  <c r="H449" i="10"/>
  <c r="G449" i="10"/>
  <c r="E449" i="10"/>
  <c r="F449" i="10" s="1"/>
  <c r="C449" i="10"/>
  <c r="A449" i="10" s="1"/>
  <c r="B449" i="10" s="1"/>
  <c r="K448" i="10"/>
  <c r="J448" i="10"/>
  <c r="I448" i="10"/>
  <c r="H448" i="10"/>
  <c r="G448" i="10"/>
  <c r="E448" i="10"/>
  <c r="C448" i="10" s="1"/>
  <c r="K447" i="10"/>
  <c r="J447" i="10"/>
  <c r="I447" i="10"/>
  <c r="H447" i="10"/>
  <c r="G447" i="10"/>
  <c r="E447" i="10"/>
  <c r="K446" i="10"/>
  <c r="J446" i="10"/>
  <c r="I446" i="10"/>
  <c r="H446" i="10"/>
  <c r="G446" i="10"/>
  <c r="E446" i="10"/>
  <c r="K445" i="10"/>
  <c r="J445" i="10"/>
  <c r="I445" i="10"/>
  <c r="H445" i="10"/>
  <c r="G445" i="10"/>
  <c r="F445" i="10"/>
  <c r="E445" i="10"/>
  <c r="C445" i="10" s="1"/>
  <c r="K444" i="10"/>
  <c r="J444" i="10"/>
  <c r="I444" i="10"/>
  <c r="H444" i="10"/>
  <c r="G444" i="10"/>
  <c r="F444" i="10"/>
  <c r="E444" i="10"/>
  <c r="C444" i="10" s="1"/>
  <c r="K443" i="10"/>
  <c r="J443" i="10"/>
  <c r="I443" i="10"/>
  <c r="H443" i="10"/>
  <c r="G443" i="10"/>
  <c r="E443" i="10"/>
  <c r="C443" i="10" s="1"/>
  <c r="D443" i="10" s="1"/>
  <c r="K442" i="10"/>
  <c r="J442" i="10"/>
  <c r="I442" i="10"/>
  <c r="H442" i="10"/>
  <c r="G442" i="10"/>
  <c r="F442" i="10"/>
  <c r="E442" i="10"/>
  <c r="C442" i="10" s="1"/>
  <c r="K441" i="10"/>
  <c r="J441" i="10"/>
  <c r="I441" i="10"/>
  <c r="H441" i="10"/>
  <c r="G441" i="10"/>
  <c r="F441" i="10"/>
  <c r="E441" i="10"/>
  <c r="C441" i="10"/>
  <c r="K440" i="10"/>
  <c r="J440" i="10"/>
  <c r="I440" i="10"/>
  <c r="H440" i="10"/>
  <c r="G440" i="10"/>
  <c r="E440" i="10"/>
  <c r="K439" i="10"/>
  <c r="J439" i="10"/>
  <c r="I439" i="10"/>
  <c r="H439" i="10"/>
  <c r="G439" i="10"/>
  <c r="E439" i="10"/>
  <c r="K438" i="10"/>
  <c r="J438" i="10"/>
  <c r="I438" i="10"/>
  <c r="H438" i="10"/>
  <c r="G438" i="10"/>
  <c r="E438" i="10"/>
  <c r="F438" i="10" s="1"/>
  <c r="K437" i="10"/>
  <c r="J437" i="10"/>
  <c r="I437" i="10"/>
  <c r="H437" i="10"/>
  <c r="G437" i="10"/>
  <c r="E437" i="10"/>
  <c r="F437" i="10" s="1"/>
  <c r="C437" i="10"/>
  <c r="K436" i="10"/>
  <c r="J436" i="10"/>
  <c r="I436" i="10"/>
  <c r="H436" i="10"/>
  <c r="G436" i="10"/>
  <c r="E436" i="10"/>
  <c r="F436" i="10" s="1"/>
  <c r="C436" i="10"/>
  <c r="D436" i="10" s="1"/>
  <c r="A436" i="10"/>
  <c r="B436" i="10" s="1"/>
  <c r="K435" i="10"/>
  <c r="J435" i="10"/>
  <c r="I435" i="10"/>
  <c r="H435" i="10"/>
  <c r="G435" i="10"/>
  <c r="E435" i="10"/>
  <c r="C435" i="10" s="1"/>
  <c r="D435" i="10"/>
  <c r="A435" i="10"/>
  <c r="B435" i="10" s="1"/>
  <c r="K434" i="10"/>
  <c r="J434" i="10"/>
  <c r="I434" i="10"/>
  <c r="H434" i="10"/>
  <c r="G434" i="10"/>
  <c r="E434" i="10"/>
  <c r="F434" i="10" s="1"/>
  <c r="K433" i="10"/>
  <c r="J433" i="10"/>
  <c r="I433" i="10"/>
  <c r="H433" i="10"/>
  <c r="G433" i="10"/>
  <c r="F433" i="10"/>
  <c r="E433" i="10"/>
  <c r="C433" i="10" s="1"/>
  <c r="K432" i="10"/>
  <c r="J432" i="10"/>
  <c r="I432" i="10"/>
  <c r="H432" i="10"/>
  <c r="G432" i="10"/>
  <c r="E432" i="10"/>
  <c r="K431" i="10"/>
  <c r="J431" i="10"/>
  <c r="I431" i="10"/>
  <c r="H431" i="10"/>
  <c r="G431" i="10"/>
  <c r="E431" i="10"/>
  <c r="K430" i="10"/>
  <c r="J430" i="10"/>
  <c r="I430" i="10"/>
  <c r="H430" i="10"/>
  <c r="G430" i="10"/>
  <c r="E430" i="10"/>
  <c r="F430" i="10" s="1"/>
  <c r="C430" i="10"/>
  <c r="A430" i="10" s="1"/>
  <c r="B430" i="10"/>
  <c r="K429" i="10"/>
  <c r="J429" i="10"/>
  <c r="I429" i="10"/>
  <c r="H429" i="10"/>
  <c r="G429" i="10"/>
  <c r="E429" i="10"/>
  <c r="F429" i="10" s="1"/>
  <c r="C429" i="10"/>
  <c r="K428" i="10"/>
  <c r="J428" i="10"/>
  <c r="I428" i="10"/>
  <c r="H428" i="10"/>
  <c r="G428" i="10"/>
  <c r="E428" i="10"/>
  <c r="F428" i="10" s="1"/>
  <c r="C428" i="10"/>
  <c r="K427" i="10"/>
  <c r="J427" i="10"/>
  <c r="I427" i="10"/>
  <c r="H427" i="10"/>
  <c r="G427" i="10"/>
  <c r="E427" i="10"/>
  <c r="C427" i="10" s="1"/>
  <c r="K426" i="10"/>
  <c r="J426" i="10"/>
  <c r="I426" i="10"/>
  <c r="H426" i="10"/>
  <c r="G426" i="10"/>
  <c r="E426" i="10"/>
  <c r="F426" i="10" s="1"/>
  <c r="C426" i="10"/>
  <c r="K425" i="10"/>
  <c r="J425" i="10"/>
  <c r="I425" i="10"/>
  <c r="H425" i="10"/>
  <c r="G425" i="10"/>
  <c r="E425" i="10"/>
  <c r="F425" i="10" s="1"/>
  <c r="C425" i="10"/>
  <c r="D425" i="10" s="1"/>
  <c r="A425" i="10"/>
  <c r="B425" i="10" s="1"/>
  <c r="K424" i="10"/>
  <c r="J424" i="10"/>
  <c r="I424" i="10"/>
  <c r="H424" i="10"/>
  <c r="G424" i="10"/>
  <c r="E424" i="10"/>
  <c r="K423" i="10"/>
  <c r="J423" i="10"/>
  <c r="I423" i="10"/>
  <c r="H423" i="10"/>
  <c r="G423" i="10"/>
  <c r="E423" i="10"/>
  <c r="K422" i="10"/>
  <c r="J422" i="10"/>
  <c r="I422" i="10"/>
  <c r="H422" i="10"/>
  <c r="G422" i="10"/>
  <c r="E422" i="10"/>
  <c r="F422" i="10" s="1"/>
  <c r="K421" i="10"/>
  <c r="J421" i="10"/>
  <c r="I421" i="10"/>
  <c r="H421" i="10"/>
  <c r="G421" i="10"/>
  <c r="E421" i="10"/>
  <c r="F421" i="10" s="1"/>
  <c r="K420" i="10"/>
  <c r="J420" i="10"/>
  <c r="I420" i="10"/>
  <c r="H420" i="10"/>
  <c r="G420" i="10"/>
  <c r="E420" i="10"/>
  <c r="C420" i="10" s="1"/>
  <c r="D420" i="10" s="1"/>
  <c r="K419" i="10"/>
  <c r="J419" i="10"/>
  <c r="I419" i="10"/>
  <c r="H419" i="10"/>
  <c r="G419" i="10"/>
  <c r="E419" i="10"/>
  <c r="F419" i="10" s="1"/>
  <c r="C419" i="10"/>
  <c r="D419" i="10" s="1"/>
  <c r="K418" i="10"/>
  <c r="J418" i="10"/>
  <c r="I418" i="10"/>
  <c r="H418" i="10"/>
  <c r="G418" i="10"/>
  <c r="E418" i="10"/>
  <c r="C418" i="10" s="1"/>
  <c r="K417" i="10"/>
  <c r="J417" i="10"/>
  <c r="I417" i="10"/>
  <c r="H417" i="10"/>
  <c r="G417" i="10"/>
  <c r="E417" i="10"/>
  <c r="C417" i="10" s="1"/>
  <c r="K416" i="10"/>
  <c r="J416" i="10"/>
  <c r="I416" i="10"/>
  <c r="H416" i="10"/>
  <c r="G416" i="10"/>
  <c r="F416" i="10"/>
  <c r="E416" i="10"/>
  <c r="C416" i="10" s="1"/>
  <c r="D416" i="10" s="1"/>
  <c r="A416" i="10"/>
  <c r="B416" i="10" s="1"/>
  <c r="K415" i="10"/>
  <c r="J415" i="10"/>
  <c r="I415" i="10"/>
  <c r="H415" i="10"/>
  <c r="G415" i="10"/>
  <c r="E415" i="10"/>
  <c r="K414" i="10"/>
  <c r="J414" i="10"/>
  <c r="I414" i="10"/>
  <c r="H414" i="10"/>
  <c r="G414" i="10"/>
  <c r="E414" i="10"/>
  <c r="F414" i="10" s="1"/>
  <c r="K413" i="10"/>
  <c r="J413" i="10"/>
  <c r="I413" i="10"/>
  <c r="H413" i="10"/>
  <c r="G413" i="10"/>
  <c r="E413" i="10"/>
  <c r="K412" i="10"/>
  <c r="J412" i="10"/>
  <c r="I412" i="10"/>
  <c r="H412" i="10"/>
  <c r="G412" i="10"/>
  <c r="F412" i="10"/>
  <c r="E412" i="10"/>
  <c r="C412" i="10"/>
  <c r="K411" i="10"/>
  <c r="J411" i="10"/>
  <c r="I411" i="10"/>
  <c r="H411" i="10"/>
  <c r="G411" i="10"/>
  <c r="F411" i="10"/>
  <c r="E411" i="10"/>
  <c r="C411" i="10" s="1"/>
  <c r="D411" i="10" s="1"/>
  <c r="K410" i="10"/>
  <c r="J410" i="10"/>
  <c r="I410" i="10"/>
  <c r="H410" i="10"/>
  <c r="G410" i="10"/>
  <c r="E410" i="10"/>
  <c r="K409" i="10"/>
  <c r="J409" i="10"/>
  <c r="I409" i="10"/>
  <c r="H409" i="10"/>
  <c r="G409" i="10"/>
  <c r="E409" i="10"/>
  <c r="C409" i="10" s="1"/>
  <c r="K408" i="10"/>
  <c r="J408" i="10"/>
  <c r="I408" i="10"/>
  <c r="H408" i="10"/>
  <c r="G408" i="10"/>
  <c r="E408" i="10"/>
  <c r="K407" i="10"/>
  <c r="J407" i="10"/>
  <c r="I407" i="10"/>
  <c r="H407" i="10"/>
  <c r="G407" i="10"/>
  <c r="E407" i="10"/>
  <c r="K406" i="10"/>
  <c r="J406" i="10"/>
  <c r="I406" i="10"/>
  <c r="H406" i="10"/>
  <c r="G406" i="10"/>
  <c r="E406" i="10"/>
  <c r="F406" i="10" s="1"/>
  <c r="C406" i="10"/>
  <c r="K405" i="10"/>
  <c r="J405" i="10"/>
  <c r="I405" i="10"/>
  <c r="H405" i="10"/>
  <c r="G405" i="10"/>
  <c r="E405" i="10"/>
  <c r="K404" i="10"/>
  <c r="J404" i="10"/>
  <c r="I404" i="10"/>
  <c r="H404" i="10"/>
  <c r="G404" i="10"/>
  <c r="F404" i="10"/>
  <c r="E404" i="10"/>
  <c r="C404" i="10" s="1"/>
  <c r="D404" i="10" s="1"/>
  <c r="K402" i="10"/>
  <c r="J402" i="10"/>
  <c r="I402" i="10"/>
  <c r="H402" i="10"/>
  <c r="G402" i="10"/>
  <c r="F402" i="10"/>
  <c r="E402" i="10"/>
  <c r="C402" i="10" s="1"/>
  <c r="K401" i="10"/>
  <c r="J401" i="10"/>
  <c r="I401" i="10"/>
  <c r="H401" i="10"/>
  <c r="G401" i="10"/>
  <c r="F401" i="10"/>
  <c r="E401" i="10"/>
  <c r="C401" i="10"/>
  <c r="K400" i="10"/>
  <c r="J400" i="10"/>
  <c r="I400" i="10"/>
  <c r="H400" i="10"/>
  <c r="G400" i="10"/>
  <c r="E400" i="10"/>
  <c r="K399" i="10"/>
  <c r="J399" i="10"/>
  <c r="I399" i="10"/>
  <c r="H399" i="10"/>
  <c r="G399" i="10"/>
  <c r="E399" i="10"/>
  <c r="K398" i="10"/>
  <c r="J398" i="10"/>
  <c r="I398" i="10"/>
  <c r="H398" i="10"/>
  <c r="G398" i="10"/>
  <c r="E398" i="10"/>
  <c r="K397" i="10"/>
  <c r="J397" i="10"/>
  <c r="I397" i="10"/>
  <c r="H397" i="10"/>
  <c r="G397" i="10"/>
  <c r="F397" i="10"/>
  <c r="E397" i="10"/>
  <c r="C397" i="10"/>
  <c r="K396" i="10"/>
  <c r="J396" i="10"/>
  <c r="I396" i="10"/>
  <c r="H396" i="10"/>
  <c r="G396" i="10"/>
  <c r="E396" i="10"/>
  <c r="K395" i="10"/>
  <c r="J395" i="10"/>
  <c r="I395" i="10"/>
  <c r="H395" i="10"/>
  <c r="G395" i="10"/>
  <c r="E395" i="10"/>
  <c r="K394" i="10"/>
  <c r="J394" i="10"/>
  <c r="I394" i="10"/>
  <c r="H394" i="10"/>
  <c r="G394" i="10"/>
  <c r="E394" i="10"/>
  <c r="F394" i="10" s="1"/>
  <c r="C394" i="10"/>
  <c r="A394" i="10" s="1"/>
  <c r="B394" i="10" s="1"/>
  <c r="K393" i="10"/>
  <c r="J393" i="10"/>
  <c r="I393" i="10"/>
  <c r="H393" i="10"/>
  <c r="G393" i="10"/>
  <c r="E393" i="10"/>
  <c r="F393" i="10" s="1"/>
  <c r="C393" i="10"/>
  <c r="K392" i="10"/>
  <c r="J392" i="10"/>
  <c r="I392" i="10"/>
  <c r="H392" i="10"/>
  <c r="G392" i="10"/>
  <c r="E392" i="10"/>
  <c r="K391" i="10"/>
  <c r="J391" i="10"/>
  <c r="I391" i="10"/>
  <c r="H391" i="10"/>
  <c r="G391" i="10"/>
  <c r="E391" i="10"/>
  <c r="K390" i="10"/>
  <c r="J390" i="10"/>
  <c r="I390" i="10"/>
  <c r="H390" i="10"/>
  <c r="G390" i="10"/>
  <c r="E390" i="10"/>
  <c r="F390" i="10" s="1"/>
  <c r="K389" i="10"/>
  <c r="J389" i="10"/>
  <c r="I389" i="10"/>
  <c r="H389" i="10"/>
  <c r="G389" i="10"/>
  <c r="E389" i="10"/>
  <c r="F389" i="10" s="1"/>
  <c r="C389" i="10"/>
  <c r="K388" i="10"/>
  <c r="J388" i="10"/>
  <c r="I388" i="10"/>
  <c r="H388" i="10"/>
  <c r="G388" i="10"/>
  <c r="E388" i="10"/>
  <c r="C388" i="10" s="1"/>
  <c r="D388" i="10" s="1"/>
  <c r="K387" i="10"/>
  <c r="J387" i="10"/>
  <c r="I387" i="10"/>
  <c r="H387" i="10"/>
  <c r="G387" i="10"/>
  <c r="E387" i="10"/>
  <c r="F387" i="10" s="1"/>
  <c r="C387" i="10"/>
  <c r="K386" i="10"/>
  <c r="J386" i="10"/>
  <c r="I386" i="10"/>
  <c r="H386" i="10"/>
  <c r="G386" i="10"/>
  <c r="F386" i="10"/>
  <c r="E386" i="10"/>
  <c r="C386" i="10" s="1"/>
  <c r="A386" i="10" s="1"/>
  <c r="B386" i="10" s="1"/>
  <c r="D386" i="10"/>
  <c r="K385" i="10"/>
  <c r="J385" i="10"/>
  <c r="I385" i="10"/>
  <c r="H385" i="10"/>
  <c r="G385" i="10"/>
  <c r="F385" i="10"/>
  <c r="E385" i="10"/>
  <c r="C385" i="10"/>
  <c r="A385" i="10" s="1"/>
  <c r="B385" i="10" s="1"/>
  <c r="K384" i="10"/>
  <c r="J384" i="10"/>
  <c r="I384" i="10"/>
  <c r="H384" i="10"/>
  <c r="G384" i="10"/>
  <c r="F384" i="10"/>
  <c r="E384" i="10"/>
  <c r="C384" i="10" s="1"/>
  <c r="A384" i="10" s="1"/>
  <c r="B384" i="10" s="1"/>
  <c r="D384" i="10"/>
  <c r="K383" i="10"/>
  <c r="J383" i="10"/>
  <c r="I383" i="10"/>
  <c r="H383" i="10"/>
  <c r="G383" i="10"/>
  <c r="E383" i="10"/>
  <c r="K382" i="10"/>
  <c r="J382" i="10"/>
  <c r="I382" i="10"/>
  <c r="H382" i="10"/>
  <c r="G382" i="10"/>
  <c r="E382" i="10"/>
  <c r="F382" i="10" s="1"/>
  <c r="C382" i="10"/>
  <c r="A382" i="10" s="1"/>
  <c r="B382" i="10" s="1"/>
  <c r="K381" i="10"/>
  <c r="J381" i="10"/>
  <c r="I381" i="10"/>
  <c r="H381" i="10"/>
  <c r="G381" i="10"/>
  <c r="E381" i="10"/>
  <c r="C381" i="10" s="1"/>
  <c r="K380" i="10"/>
  <c r="J380" i="10"/>
  <c r="I380" i="10"/>
  <c r="H380" i="10"/>
  <c r="G380" i="10"/>
  <c r="E380" i="10"/>
  <c r="F380" i="10" s="1"/>
  <c r="C380" i="10"/>
  <c r="K379" i="10"/>
  <c r="J379" i="10"/>
  <c r="I379" i="10"/>
  <c r="H379" i="10"/>
  <c r="G379" i="10"/>
  <c r="E379" i="10"/>
  <c r="C379" i="10" s="1"/>
  <c r="D379" i="10" s="1"/>
  <c r="K378" i="10"/>
  <c r="J378" i="10"/>
  <c r="I378" i="10"/>
  <c r="H378" i="10"/>
  <c r="G378" i="10"/>
  <c r="E378" i="10"/>
  <c r="F378" i="10" s="1"/>
  <c r="K377" i="10"/>
  <c r="J377" i="10"/>
  <c r="I377" i="10"/>
  <c r="H377" i="10"/>
  <c r="G377" i="10"/>
  <c r="E377" i="10"/>
  <c r="F377" i="10" s="1"/>
  <c r="C377" i="10"/>
  <c r="D377" i="10" s="1"/>
  <c r="A377" i="10"/>
  <c r="B377" i="10" s="1"/>
  <c r="K376" i="10"/>
  <c r="J376" i="10"/>
  <c r="I376" i="10"/>
  <c r="H376" i="10"/>
  <c r="G376" i="10"/>
  <c r="E376" i="10"/>
  <c r="K375" i="10"/>
  <c r="J375" i="10"/>
  <c r="I375" i="10"/>
  <c r="H375" i="10"/>
  <c r="G375" i="10"/>
  <c r="E375" i="10"/>
  <c r="K374" i="10"/>
  <c r="J374" i="10"/>
  <c r="I374" i="10"/>
  <c r="H374" i="10"/>
  <c r="G374" i="10"/>
  <c r="E374" i="10"/>
  <c r="F374" i="10" s="1"/>
  <c r="K373" i="10"/>
  <c r="J373" i="10"/>
  <c r="I373" i="10"/>
  <c r="H373" i="10"/>
  <c r="G373" i="10"/>
  <c r="E373" i="10"/>
  <c r="F373" i="10" s="1"/>
  <c r="K372" i="10"/>
  <c r="J372" i="10"/>
  <c r="I372" i="10"/>
  <c r="H372" i="10"/>
  <c r="G372" i="10"/>
  <c r="E372" i="10"/>
  <c r="C372" i="10" s="1"/>
  <c r="K371" i="10"/>
  <c r="J371" i="10"/>
  <c r="I371" i="10"/>
  <c r="H371" i="10"/>
  <c r="G371" i="10"/>
  <c r="E371" i="10"/>
  <c r="F371" i="10" s="1"/>
  <c r="C371" i="10"/>
  <c r="K370" i="10"/>
  <c r="J370" i="10"/>
  <c r="I370" i="10"/>
  <c r="H370" i="10"/>
  <c r="G370" i="10"/>
  <c r="F370" i="10"/>
  <c r="E370" i="10"/>
  <c r="C370" i="10"/>
  <c r="K369" i="10"/>
  <c r="J369" i="10"/>
  <c r="I369" i="10"/>
  <c r="H369" i="10"/>
  <c r="G369" i="10"/>
  <c r="E369" i="10"/>
  <c r="K368" i="10"/>
  <c r="J368" i="10"/>
  <c r="I368" i="10"/>
  <c r="H368" i="10"/>
  <c r="G368" i="10"/>
  <c r="E368" i="10"/>
  <c r="C368" i="10" s="1"/>
  <c r="K367" i="10"/>
  <c r="J367" i="10"/>
  <c r="I367" i="10"/>
  <c r="H367" i="10"/>
  <c r="G367" i="10"/>
  <c r="E367" i="10"/>
  <c r="K366" i="10"/>
  <c r="J366" i="10"/>
  <c r="I366" i="10"/>
  <c r="H366" i="10"/>
  <c r="G366" i="10"/>
  <c r="E366" i="10"/>
  <c r="K365" i="10"/>
  <c r="J365" i="10"/>
  <c r="I365" i="10"/>
  <c r="H365" i="10"/>
  <c r="G365" i="10"/>
  <c r="E365" i="10"/>
  <c r="F365" i="10" s="1"/>
  <c r="K364" i="10"/>
  <c r="J364" i="10"/>
  <c r="I364" i="10"/>
  <c r="H364" i="10"/>
  <c r="G364" i="10"/>
  <c r="E364" i="10"/>
  <c r="F364" i="10" s="1"/>
  <c r="C364" i="10"/>
  <c r="K363" i="10"/>
  <c r="J363" i="10"/>
  <c r="I363" i="10"/>
  <c r="H363" i="10"/>
  <c r="G363" i="10"/>
  <c r="E363" i="10"/>
  <c r="C363" i="10" s="1"/>
  <c r="K362" i="10"/>
  <c r="J362" i="10"/>
  <c r="I362" i="10"/>
  <c r="H362" i="10"/>
  <c r="G362" i="10"/>
  <c r="F362" i="10"/>
  <c r="E362" i="10"/>
  <c r="C362" i="10"/>
  <c r="A362" i="10" s="1"/>
  <c r="B362" i="10" s="1"/>
  <c r="K361" i="10"/>
  <c r="J361" i="10"/>
  <c r="I361" i="10"/>
  <c r="H361" i="10"/>
  <c r="G361" i="10"/>
  <c r="F361" i="10"/>
  <c r="E361" i="10"/>
  <c r="C361" i="10"/>
  <c r="D361" i="10" s="1"/>
  <c r="K360" i="10"/>
  <c r="J360" i="10"/>
  <c r="I360" i="10"/>
  <c r="H360" i="10"/>
  <c r="G360" i="10"/>
  <c r="E360" i="10"/>
  <c r="F360" i="10" s="1"/>
  <c r="K359" i="10"/>
  <c r="J359" i="10"/>
  <c r="I359" i="10"/>
  <c r="H359" i="10"/>
  <c r="G359" i="10"/>
  <c r="F359" i="10"/>
  <c r="E359" i="10"/>
  <c r="C359" i="10" s="1"/>
  <c r="A359" i="10" s="1"/>
  <c r="B359" i="10" s="1"/>
  <c r="D359" i="10"/>
  <c r="K358" i="10"/>
  <c r="J358" i="10"/>
  <c r="I358" i="10"/>
  <c r="H358" i="10"/>
  <c r="G358" i="10"/>
  <c r="E358" i="10"/>
  <c r="K357" i="10"/>
  <c r="J357" i="10"/>
  <c r="I357" i="10"/>
  <c r="H357" i="10"/>
  <c r="G357" i="10"/>
  <c r="E357" i="10"/>
  <c r="F357" i="10" s="1"/>
  <c r="C357" i="10"/>
  <c r="K356" i="10"/>
  <c r="J356" i="10"/>
  <c r="I356" i="10"/>
  <c r="H356" i="10"/>
  <c r="G356" i="10"/>
  <c r="E356" i="10"/>
  <c r="K355" i="10"/>
  <c r="J355" i="10"/>
  <c r="I355" i="10"/>
  <c r="H355" i="10"/>
  <c r="G355" i="10"/>
  <c r="F355" i="10"/>
  <c r="E355" i="10"/>
  <c r="C355" i="10" s="1"/>
  <c r="D355" i="10"/>
  <c r="A355" i="10"/>
  <c r="B355" i="10" s="1"/>
  <c r="K354" i="10"/>
  <c r="J354" i="10"/>
  <c r="I354" i="10"/>
  <c r="H354" i="10"/>
  <c r="G354" i="10"/>
  <c r="E354" i="10"/>
  <c r="F354" i="10" s="1"/>
  <c r="C354" i="10"/>
  <c r="K353" i="10"/>
  <c r="J353" i="10"/>
  <c r="I353" i="10"/>
  <c r="H353" i="10"/>
  <c r="G353" i="10"/>
  <c r="F353" i="10"/>
  <c r="E353" i="10"/>
  <c r="C353" i="10"/>
  <c r="K352" i="10"/>
  <c r="J352" i="10"/>
  <c r="I352" i="10"/>
  <c r="H352" i="10"/>
  <c r="G352" i="10"/>
  <c r="E352" i="10"/>
  <c r="K351" i="10"/>
  <c r="J351" i="10"/>
  <c r="I351" i="10"/>
  <c r="H351" i="10"/>
  <c r="G351" i="10"/>
  <c r="E351" i="10"/>
  <c r="K350" i="10"/>
  <c r="J350" i="10"/>
  <c r="I350" i="10"/>
  <c r="H350" i="10"/>
  <c r="G350" i="10"/>
  <c r="F350" i="10"/>
  <c r="E350" i="10"/>
  <c r="C350" i="10" s="1"/>
  <c r="K349" i="10"/>
  <c r="J349" i="10"/>
  <c r="I349" i="10"/>
  <c r="H349" i="10"/>
  <c r="G349" i="10"/>
  <c r="E349" i="10"/>
  <c r="K348" i="10"/>
  <c r="J348" i="10"/>
  <c r="I348" i="10"/>
  <c r="H348" i="10"/>
  <c r="G348" i="10"/>
  <c r="E348" i="10"/>
  <c r="K347" i="10"/>
  <c r="J347" i="10"/>
  <c r="I347" i="10"/>
  <c r="H347" i="10"/>
  <c r="G347" i="10"/>
  <c r="E347" i="10"/>
  <c r="C347" i="10" s="1"/>
  <c r="K346" i="10"/>
  <c r="J346" i="10"/>
  <c r="I346" i="10"/>
  <c r="H346" i="10"/>
  <c r="G346" i="10"/>
  <c r="E346" i="10"/>
  <c r="F346" i="10" s="1"/>
  <c r="K345" i="10"/>
  <c r="J345" i="10"/>
  <c r="I345" i="10"/>
  <c r="H345" i="10"/>
  <c r="G345" i="10"/>
  <c r="F345" i="10"/>
  <c r="E345" i="10"/>
  <c r="C345" i="10" s="1"/>
  <c r="A345" i="10" s="1"/>
  <c r="B345" i="10" s="1"/>
  <c r="D345" i="10"/>
  <c r="K344" i="10"/>
  <c r="J344" i="10"/>
  <c r="I344" i="10"/>
  <c r="H344" i="10"/>
  <c r="G344" i="10"/>
  <c r="F344" i="10"/>
  <c r="E344" i="10"/>
  <c r="C344" i="10" s="1"/>
  <c r="D344" i="10" s="1"/>
  <c r="A344" i="10"/>
  <c r="B344" i="10" s="1"/>
  <c r="K343" i="10"/>
  <c r="J343" i="10"/>
  <c r="I343" i="10"/>
  <c r="H343" i="10"/>
  <c r="G343" i="10"/>
  <c r="E343" i="10"/>
  <c r="K342" i="10"/>
  <c r="J342" i="10"/>
  <c r="I342" i="10"/>
  <c r="H342" i="10"/>
  <c r="G342" i="10"/>
  <c r="E342" i="10"/>
  <c r="K341" i="10"/>
  <c r="J341" i="10"/>
  <c r="I341" i="10"/>
  <c r="H341" i="10"/>
  <c r="G341" i="10"/>
  <c r="E341" i="10"/>
  <c r="K340" i="10"/>
  <c r="J340" i="10"/>
  <c r="I340" i="10"/>
  <c r="H340" i="10"/>
  <c r="G340" i="10"/>
  <c r="E340" i="10"/>
  <c r="K339" i="10"/>
  <c r="J339" i="10"/>
  <c r="I339" i="10"/>
  <c r="H339" i="10"/>
  <c r="G339" i="10"/>
  <c r="E339" i="10"/>
  <c r="C339" i="10" s="1"/>
  <c r="D339" i="10" s="1"/>
  <c r="A339" i="10"/>
  <c r="B339" i="10" s="1"/>
  <c r="K338" i="10"/>
  <c r="J338" i="10"/>
  <c r="I338" i="10"/>
  <c r="H338" i="10"/>
  <c r="G338" i="10"/>
  <c r="E338" i="10"/>
  <c r="K337" i="10"/>
  <c r="J337" i="10"/>
  <c r="I337" i="10"/>
  <c r="H337" i="10"/>
  <c r="G337" i="10"/>
  <c r="E337" i="10"/>
  <c r="C337" i="10" s="1"/>
  <c r="K336" i="10"/>
  <c r="J336" i="10"/>
  <c r="I336" i="10"/>
  <c r="H336" i="10"/>
  <c r="G336" i="10"/>
  <c r="F336" i="10"/>
  <c r="E336" i="10"/>
  <c r="C336" i="10" s="1"/>
  <c r="D336" i="10" s="1"/>
  <c r="K335" i="10"/>
  <c r="J335" i="10"/>
  <c r="I335" i="10"/>
  <c r="H335" i="10"/>
  <c r="G335" i="10"/>
  <c r="E335" i="10"/>
  <c r="F335" i="10" s="1"/>
  <c r="K334" i="10"/>
  <c r="J334" i="10"/>
  <c r="I334" i="10"/>
  <c r="H334" i="10"/>
  <c r="G334" i="10"/>
  <c r="E334" i="10"/>
  <c r="F334" i="10" s="1"/>
  <c r="C334" i="10"/>
  <c r="A334" i="10" s="1"/>
  <c r="B334" i="10" s="1"/>
  <c r="K333" i="10"/>
  <c r="J333" i="10"/>
  <c r="I333" i="10"/>
  <c r="H333" i="10"/>
  <c r="G333" i="10"/>
  <c r="E333" i="10"/>
  <c r="F333" i="10" s="1"/>
  <c r="C333" i="10"/>
  <c r="D333" i="10" s="1"/>
  <c r="B333" i="10"/>
  <c r="A333" i="10"/>
  <c r="K332" i="10"/>
  <c r="J332" i="10"/>
  <c r="I332" i="10"/>
  <c r="H332" i="10"/>
  <c r="G332" i="10"/>
  <c r="E332" i="10"/>
  <c r="K331" i="10"/>
  <c r="J331" i="10"/>
  <c r="I331" i="10"/>
  <c r="H331" i="10"/>
  <c r="G331" i="10"/>
  <c r="E331" i="10"/>
  <c r="K330" i="10"/>
  <c r="J330" i="10"/>
  <c r="I330" i="10"/>
  <c r="H330" i="10"/>
  <c r="G330" i="10"/>
  <c r="E330" i="10"/>
  <c r="F330" i="10" s="1"/>
  <c r="C330" i="10"/>
  <c r="D330" i="10" s="1"/>
  <c r="K329" i="10"/>
  <c r="J329" i="10"/>
  <c r="I329" i="10"/>
  <c r="H329" i="10"/>
  <c r="G329" i="10"/>
  <c r="E329" i="10"/>
  <c r="F329" i="10" s="1"/>
  <c r="C329" i="10"/>
  <c r="A329" i="10" s="1"/>
  <c r="B329" i="10" s="1"/>
  <c r="K328" i="10"/>
  <c r="J328" i="10"/>
  <c r="I328" i="10"/>
  <c r="H328" i="10"/>
  <c r="G328" i="10"/>
  <c r="E328" i="10"/>
  <c r="C328" i="10" s="1"/>
  <c r="K327" i="10"/>
  <c r="J327" i="10"/>
  <c r="I327" i="10"/>
  <c r="H327" i="10"/>
  <c r="G327" i="10"/>
  <c r="E327" i="10"/>
  <c r="K326" i="10"/>
  <c r="J326" i="10"/>
  <c r="I326" i="10"/>
  <c r="H326" i="10"/>
  <c r="G326" i="10"/>
  <c r="E326" i="10"/>
  <c r="K325" i="10"/>
  <c r="J325" i="10"/>
  <c r="I325" i="10"/>
  <c r="H325" i="10"/>
  <c r="G325" i="10"/>
  <c r="F325" i="10"/>
  <c r="E325" i="10"/>
  <c r="C325" i="10"/>
  <c r="D325" i="10" s="1"/>
  <c r="A325" i="10"/>
  <c r="B325" i="10" s="1"/>
  <c r="K324" i="10"/>
  <c r="J324" i="10"/>
  <c r="I324" i="10"/>
  <c r="H324" i="10"/>
  <c r="G324" i="10"/>
  <c r="E324" i="10"/>
  <c r="C324" i="10" s="1"/>
  <c r="A324" i="10" s="1"/>
  <c r="B324" i="10" s="1"/>
  <c r="K323" i="10"/>
  <c r="J323" i="10"/>
  <c r="I323" i="10"/>
  <c r="H323" i="10"/>
  <c r="G323" i="10"/>
  <c r="F323" i="10"/>
  <c r="E323" i="10"/>
  <c r="C323" i="10" s="1"/>
  <c r="D323" i="10" s="1"/>
  <c r="K322" i="10"/>
  <c r="J322" i="10"/>
  <c r="I322" i="10"/>
  <c r="H322" i="10"/>
  <c r="G322" i="10"/>
  <c r="E322" i="10"/>
  <c r="F322" i="10" s="1"/>
  <c r="C322" i="10"/>
  <c r="D322" i="10" s="1"/>
  <c r="K321" i="10"/>
  <c r="J321" i="10"/>
  <c r="I321" i="10"/>
  <c r="H321" i="10"/>
  <c r="G321" i="10"/>
  <c r="F321" i="10"/>
  <c r="E321" i="10"/>
  <c r="C321" i="10"/>
  <c r="A321" i="10" s="1"/>
  <c r="B321" i="10" s="1"/>
  <c r="K320" i="10"/>
  <c r="J320" i="10"/>
  <c r="I320" i="10"/>
  <c r="H320" i="10"/>
  <c r="G320" i="10"/>
  <c r="E320" i="10"/>
  <c r="K319" i="10"/>
  <c r="J319" i="10"/>
  <c r="I319" i="10"/>
  <c r="H319" i="10"/>
  <c r="G319" i="10"/>
  <c r="E319" i="10"/>
  <c r="K318" i="10"/>
  <c r="J318" i="10"/>
  <c r="I318" i="10"/>
  <c r="H318" i="10"/>
  <c r="G318" i="10"/>
  <c r="E318" i="10"/>
  <c r="F318" i="10" s="1"/>
  <c r="C318" i="10"/>
  <c r="K317" i="10"/>
  <c r="J317" i="10"/>
  <c r="I317" i="10"/>
  <c r="H317" i="10"/>
  <c r="G317" i="10"/>
  <c r="E317" i="10"/>
  <c r="F317" i="10" s="1"/>
  <c r="C317" i="10"/>
  <c r="D317" i="10" s="1"/>
  <c r="K316" i="10"/>
  <c r="J316" i="10"/>
  <c r="I316" i="10"/>
  <c r="H316" i="10"/>
  <c r="G316" i="10"/>
  <c r="E316" i="10"/>
  <c r="F316" i="10" s="1"/>
  <c r="C316" i="10"/>
  <c r="A316" i="10" s="1"/>
  <c r="B316" i="10" s="1"/>
  <c r="K315" i="10"/>
  <c r="J315" i="10"/>
  <c r="I315" i="10"/>
  <c r="H315" i="10"/>
  <c r="G315" i="10"/>
  <c r="E315" i="10"/>
  <c r="C315" i="10" s="1"/>
  <c r="D315" i="10" s="1"/>
  <c r="K314" i="10"/>
  <c r="J314" i="10"/>
  <c r="I314" i="10"/>
  <c r="H314" i="10"/>
  <c r="G314" i="10"/>
  <c r="E314" i="10"/>
  <c r="F314" i="10" s="1"/>
  <c r="C314" i="10"/>
  <c r="K313" i="10"/>
  <c r="J313" i="10"/>
  <c r="I313" i="10"/>
  <c r="H313" i="10"/>
  <c r="G313" i="10"/>
  <c r="F313" i="10"/>
  <c r="E313" i="10"/>
  <c r="C313" i="10" s="1"/>
  <c r="K312" i="10"/>
  <c r="J312" i="10"/>
  <c r="I312" i="10"/>
  <c r="H312" i="10"/>
  <c r="G312" i="10"/>
  <c r="E312" i="10"/>
  <c r="K311" i="10"/>
  <c r="J311" i="10"/>
  <c r="I311" i="10"/>
  <c r="H311" i="10"/>
  <c r="G311" i="10"/>
  <c r="E311" i="10"/>
  <c r="F311" i="10" s="1"/>
  <c r="C311" i="10"/>
  <c r="D311" i="10" s="1"/>
  <c r="K310" i="10"/>
  <c r="J310" i="10"/>
  <c r="I310" i="10"/>
  <c r="H310" i="10"/>
  <c r="G310" i="10"/>
  <c r="F310" i="10"/>
  <c r="E310" i="10"/>
  <c r="C310" i="10" s="1"/>
  <c r="K309" i="10"/>
  <c r="J309" i="10"/>
  <c r="I309" i="10"/>
  <c r="H309" i="10"/>
  <c r="G309" i="10"/>
  <c r="E309" i="10"/>
  <c r="C309" i="10" s="1"/>
  <c r="K308" i="10"/>
  <c r="J308" i="10"/>
  <c r="I308" i="10"/>
  <c r="H308" i="10"/>
  <c r="G308" i="10"/>
  <c r="F308" i="10"/>
  <c r="E308" i="10"/>
  <c r="C308" i="10" s="1"/>
  <c r="K307" i="10"/>
  <c r="J307" i="10"/>
  <c r="I307" i="10"/>
  <c r="H307" i="10"/>
  <c r="G307" i="10"/>
  <c r="E307" i="10"/>
  <c r="K306" i="10"/>
  <c r="J306" i="10"/>
  <c r="I306" i="10"/>
  <c r="H306" i="10"/>
  <c r="G306" i="10"/>
  <c r="E306" i="10"/>
  <c r="F306" i="10" s="1"/>
  <c r="K305" i="10"/>
  <c r="J305" i="10"/>
  <c r="I305" i="10"/>
  <c r="H305" i="10"/>
  <c r="G305" i="10"/>
  <c r="E305" i="10"/>
  <c r="C305" i="10" s="1"/>
  <c r="A305" i="10" s="1"/>
  <c r="D305" i="10"/>
  <c r="B305" i="10"/>
  <c r="K304" i="10"/>
  <c r="J304" i="10"/>
  <c r="I304" i="10"/>
  <c r="H304" i="10"/>
  <c r="G304" i="10"/>
  <c r="E304" i="10"/>
  <c r="C304" i="10" s="1"/>
  <c r="D304" i="10" s="1"/>
  <c r="K303" i="10"/>
  <c r="J303" i="10"/>
  <c r="I303" i="10"/>
  <c r="H303" i="10"/>
  <c r="G303" i="10"/>
  <c r="E303" i="10"/>
  <c r="K302" i="10"/>
  <c r="J302" i="10"/>
  <c r="I302" i="10"/>
  <c r="H302" i="10"/>
  <c r="G302" i="10"/>
  <c r="E302" i="10"/>
  <c r="F302" i="10" s="1"/>
  <c r="K301" i="10"/>
  <c r="J301" i="10"/>
  <c r="I301" i="10"/>
  <c r="H301" i="10"/>
  <c r="G301" i="10"/>
  <c r="F301" i="10"/>
  <c r="E301" i="10"/>
  <c r="C301" i="10"/>
  <c r="K300" i="10"/>
  <c r="J300" i="10"/>
  <c r="I300" i="10"/>
  <c r="H300" i="10"/>
  <c r="G300" i="10"/>
  <c r="F300" i="10"/>
  <c r="E300" i="10"/>
  <c r="C300" i="10"/>
  <c r="K299" i="10"/>
  <c r="J299" i="10"/>
  <c r="I299" i="10"/>
  <c r="H299" i="10"/>
  <c r="G299" i="10"/>
  <c r="E299" i="10"/>
  <c r="K298" i="10"/>
  <c r="J298" i="10"/>
  <c r="I298" i="10"/>
  <c r="H298" i="10"/>
  <c r="G298" i="10"/>
  <c r="E298" i="10"/>
  <c r="F298" i="10" s="1"/>
  <c r="C298" i="10"/>
  <c r="K297" i="10"/>
  <c r="J297" i="10"/>
  <c r="I297" i="10"/>
  <c r="H297" i="10"/>
  <c r="G297" i="10"/>
  <c r="E297" i="10"/>
  <c r="F297" i="10" s="1"/>
  <c r="C297" i="10"/>
  <c r="K296" i="10"/>
  <c r="J296" i="10"/>
  <c r="I296" i="10"/>
  <c r="H296" i="10"/>
  <c r="G296" i="10"/>
  <c r="E296" i="10"/>
  <c r="K295" i="10"/>
  <c r="J295" i="10"/>
  <c r="I295" i="10"/>
  <c r="H295" i="10"/>
  <c r="G295" i="10"/>
  <c r="E295" i="10"/>
  <c r="F295" i="10" s="1"/>
  <c r="K294" i="10"/>
  <c r="J294" i="10"/>
  <c r="I294" i="10"/>
  <c r="H294" i="10"/>
  <c r="G294" i="10"/>
  <c r="E294" i="10"/>
  <c r="C294" i="10" s="1"/>
  <c r="K293" i="10"/>
  <c r="J293" i="10"/>
  <c r="I293" i="10"/>
  <c r="H293" i="10"/>
  <c r="G293" i="10"/>
  <c r="F293" i="10"/>
  <c r="E293" i="10"/>
  <c r="C293" i="10"/>
  <c r="D293" i="10" s="1"/>
  <c r="K292" i="10"/>
  <c r="J292" i="10"/>
  <c r="I292" i="10"/>
  <c r="H292" i="10"/>
  <c r="G292" i="10"/>
  <c r="E292" i="10"/>
  <c r="C292" i="10" s="1"/>
  <c r="D292" i="10" s="1"/>
  <c r="A292" i="10"/>
  <c r="B292" i="10" s="1"/>
  <c r="K291" i="10"/>
  <c r="J291" i="10"/>
  <c r="I291" i="10"/>
  <c r="H291" i="10"/>
  <c r="G291" i="10"/>
  <c r="E291" i="10"/>
  <c r="C291" i="10" s="1"/>
  <c r="D291" i="10"/>
  <c r="A291" i="10"/>
  <c r="B291" i="10" s="1"/>
  <c r="K290" i="10"/>
  <c r="J290" i="10"/>
  <c r="I290" i="10"/>
  <c r="H290" i="10"/>
  <c r="G290" i="10"/>
  <c r="E290" i="10"/>
  <c r="F290" i="10" s="1"/>
  <c r="C290" i="10"/>
  <c r="D290" i="10" s="1"/>
  <c r="A290" i="10"/>
  <c r="B290" i="10" s="1"/>
  <c r="K289" i="10"/>
  <c r="J289" i="10"/>
  <c r="I289" i="10"/>
  <c r="H289" i="10"/>
  <c r="G289" i="10"/>
  <c r="E289" i="10"/>
  <c r="F289" i="10" s="1"/>
  <c r="C289" i="10"/>
  <c r="A289" i="10" s="1"/>
  <c r="B289" i="10" s="1"/>
  <c r="K288" i="10"/>
  <c r="J288" i="10"/>
  <c r="I288" i="10"/>
  <c r="H288" i="10"/>
  <c r="G288" i="10"/>
  <c r="E288" i="10"/>
  <c r="C288" i="10" s="1"/>
  <c r="D288" i="10" s="1"/>
  <c r="K287" i="10"/>
  <c r="J287" i="10"/>
  <c r="I287" i="10"/>
  <c r="H287" i="10"/>
  <c r="G287" i="10"/>
  <c r="E287" i="10"/>
  <c r="F287" i="10" s="1"/>
  <c r="K286" i="10"/>
  <c r="J286" i="10"/>
  <c r="I286" i="10"/>
  <c r="H286" i="10"/>
  <c r="G286" i="10"/>
  <c r="E286" i="10"/>
  <c r="C286" i="10" s="1"/>
  <c r="K285" i="10"/>
  <c r="J285" i="10"/>
  <c r="I285" i="10"/>
  <c r="H285" i="10"/>
  <c r="G285" i="10"/>
  <c r="E285" i="10"/>
  <c r="C285" i="10" s="1"/>
  <c r="D285" i="10" s="1"/>
  <c r="K284" i="10"/>
  <c r="J284" i="10"/>
  <c r="I284" i="10"/>
  <c r="H284" i="10"/>
  <c r="G284" i="10"/>
  <c r="E284" i="10"/>
  <c r="C284" i="10" s="1"/>
  <c r="A284" i="10" s="1"/>
  <c r="B284" i="10" s="1"/>
  <c r="K283" i="10"/>
  <c r="J283" i="10"/>
  <c r="I283" i="10"/>
  <c r="H283" i="10"/>
  <c r="G283" i="10"/>
  <c r="E283" i="10"/>
  <c r="C283" i="10" s="1"/>
  <c r="D283" i="10" s="1"/>
  <c r="K282" i="10"/>
  <c r="J282" i="10"/>
  <c r="I282" i="10"/>
  <c r="H282" i="10"/>
  <c r="G282" i="10"/>
  <c r="E282" i="10"/>
  <c r="F282" i="10" s="1"/>
  <c r="C282" i="10"/>
  <c r="K281" i="10"/>
  <c r="J281" i="10"/>
  <c r="I281" i="10"/>
  <c r="H281" i="10"/>
  <c r="G281" i="10"/>
  <c r="F281" i="10"/>
  <c r="E281" i="10"/>
  <c r="C281" i="10" s="1"/>
  <c r="A281" i="10" s="1"/>
  <c r="B281" i="10" s="1"/>
  <c r="D281" i="10"/>
  <c r="K280" i="10"/>
  <c r="J280" i="10"/>
  <c r="I280" i="10"/>
  <c r="H280" i="10"/>
  <c r="G280" i="10"/>
  <c r="E280" i="10"/>
  <c r="C280" i="10" s="1"/>
  <c r="K279" i="10"/>
  <c r="J279" i="10"/>
  <c r="I279" i="10"/>
  <c r="H279" i="10"/>
  <c r="G279" i="10"/>
  <c r="E279" i="10"/>
  <c r="K278" i="10"/>
  <c r="J278" i="10"/>
  <c r="I278" i="10"/>
  <c r="H278" i="10"/>
  <c r="G278" i="10"/>
  <c r="E278" i="10"/>
  <c r="C278" i="10" s="1"/>
  <c r="A278" i="10" s="1"/>
  <c r="B278" i="10" s="1"/>
  <c r="K277" i="10"/>
  <c r="J277" i="10"/>
  <c r="I277" i="10"/>
  <c r="H277" i="10"/>
  <c r="G277" i="10"/>
  <c r="E277" i="10"/>
  <c r="F277" i="10" s="1"/>
  <c r="C277" i="10"/>
  <c r="K276" i="10"/>
  <c r="J276" i="10"/>
  <c r="I276" i="10"/>
  <c r="H276" i="10"/>
  <c r="G276" i="10"/>
  <c r="E276" i="10"/>
  <c r="K275" i="10"/>
  <c r="J275" i="10"/>
  <c r="I275" i="10"/>
  <c r="H275" i="10"/>
  <c r="G275" i="10"/>
  <c r="E275" i="10"/>
  <c r="K274" i="10"/>
  <c r="J274" i="10"/>
  <c r="I274" i="10"/>
  <c r="H274" i="10"/>
  <c r="G274" i="10"/>
  <c r="E274" i="10"/>
  <c r="F274" i="10" s="1"/>
  <c r="C274" i="10"/>
  <c r="D274" i="10" s="1"/>
  <c r="K273" i="10"/>
  <c r="J273" i="10"/>
  <c r="I273" i="10"/>
  <c r="H273" i="10"/>
  <c r="G273" i="10"/>
  <c r="E273" i="10"/>
  <c r="F273" i="10" s="1"/>
  <c r="C273" i="10"/>
  <c r="A273" i="10" s="1"/>
  <c r="B273" i="10" s="1"/>
  <c r="K272" i="10"/>
  <c r="J272" i="10"/>
  <c r="I272" i="10"/>
  <c r="H272" i="10"/>
  <c r="G272" i="10"/>
  <c r="E272" i="10"/>
  <c r="C272" i="10" s="1"/>
  <c r="K271" i="10"/>
  <c r="J271" i="10"/>
  <c r="I271" i="10"/>
  <c r="H271" i="10"/>
  <c r="G271" i="10"/>
  <c r="E271" i="10"/>
  <c r="K270" i="10"/>
  <c r="J270" i="10"/>
  <c r="I270" i="10"/>
  <c r="H270" i="10"/>
  <c r="G270" i="10"/>
  <c r="E270" i="10"/>
  <c r="F270" i="10" s="1"/>
  <c r="K269" i="10"/>
  <c r="J269" i="10"/>
  <c r="I269" i="10"/>
  <c r="H269" i="10"/>
  <c r="G269" i="10"/>
  <c r="E269" i="10"/>
  <c r="F269" i="10" s="1"/>
  <c r="K268" i="10"/>
  <c r="J268" i="10"/>
  <c r="I268" i="10"/>
  <c r="H268" i="10"/>
  <c r="G268" i="10"/>
  <c r="E268" i="10"/>
  <c r="C268" i="10" s="1"/>
  <c r="K267" i="10"/>
  <c r="J267" i="10"/>
  <c r="I267" i="10"/>
  <c r="H267" i="10"/>
  <c r="G267" i="10"/>
  <c r="F267" i="10"/>
  <c r="E267" i="10"/>
  <c r="C267" i="10" s="1"/>
  <c r="D267" i="10" s="1"/>
  <c r="K266" i="10"/>
  <c r="J266" i="10"/>
  <c r="I266" i="10"/>
  <c r="H266" i="10"/>
  <c r="G266" i="10"/>
  <c r="E266" i="10"/>
  <c r="F266" i="10" s="1"/>
  <c r="C266" i="10"/>
  <c r="K265" i="10"/>
  <c r="J265" i="10"/>
  <c r="I265" i="10"/>
  <c r="H265" i="10"/>
  <c r="G265" i="10"/>
  <c r="F265" i="10"/>
  <c r="E265" i="10"/>
  <c r="C265" i="10" s="1"/>
  <c r="K264" i="10"/>
  <c r="J264" i="10"/>
  <c r="I264" i="10"/>
  <c r="H264" i="10"/>
  <c r="G264" i="10"/>
  <c r="E264" i="10"/>
  <c r="C264" i="10" s="1"/>
  <c r="D264" i="10" s="1"/>
  <c r="K263" i="10"/>
  <c r="J263" i="10"/>
  <c r="I263" i="10"/>
  <c r="H263" i="10"/>
  <c r="G263" i="10"/>
  <c r="E263" i="10"/>
  <c r="F263" i="10" s="1"/>
  <c r="K262" i="10"/>
  <c r="J262" i="10"/>
  <c r="I262" i="10"/>
  <c r="H262" i="10"/>
  <c r="G262" i="10"/>
  <c r="E262" i="10"/>
  <c r="K261" i="10"/>
  <c r="J261" i="10"/>
  <c r="I261" i="10"/>
  <c r="H261" i="10"/>
  <c r="G261" i="10"/>
  <c r="E261" i="10"/>
  <c r="C261" i="10" s="1"/>
  <c r="A261" i="10" s="1"/>
  <c r="B261" i="10" s="1"/>
  <c r="K260" i="10"/>
  <c r="J260" i="10"/>
  <c r="I260" i="10"/>
  <c r="H260" i="10"/>
  <c r="G260" i="10"/>
  <c r="E260" i="10"/>
  <c r="C260" i="10" s="1"/>
  <c r="A260" i="10" s="1"/>
  <c r="B260" i="10" s="1"/>
  <c r="K259" i="10"/>
  <c r="J259" i="10"/>
  <c r="I259" i="10"/>
  <c r="H259" i="10"/>
  <c r="G259" i="10"/>
  <c r="E259" i="10"/>
  <c r="C259" i="10" s="1"/>
  <c r="D259" i="10" s="1"/>
  <c r="A259" i="10"/>
  <c r="B259" i="10" s="1"/>
  <c r="K258" i="10"/>
  <c r="J258" i="10"/>
  <c r="I258" i="10"/>
  <c r="H258" i="10"/>
  <c r="G258" i="10"/>
  <c r="E258" i="10"/>
  <c r="K257" i="10"/>
  <c r="J257" i="10"/>
  <c r="I257" i="10"/>
  <c r="H257" i="10"/>
  <c r="G257" i="10"/>
  <c r="F257" i="10"/>
  <c r="E257" i="10"/>
  <c r="C257" i="10" s="1"/>
  <c r="K256" i="10"/>
  <c r="J256" i="10"/>
  <c r="I256" i="10"/>
  <c r="H256" i="10"/>
  <c r="G256" i="10"/>
  <c r="F256" i="10"/>
  <c r="E256" i="10"/>
  <c r="C256" i="10"/>
  <c r="K255" i="10"/>
  <c r="J255" i="10"/>
  <c r="I255" i="10"/>
  <c r="H255" i="10"/>
  <c r="G255" i="10"/>
  <c r="E255" i="10"/>
  <c r="F255" i="10" s="1"/>
  <c r="K254" i="10"/>
  <c r="J254" i="10"/>
  <c r="I254" i="10"/>
  <c r="H254" i="10"/>
  <c r="G254" i="10"/>
  <c r="F254" i="10"/>
  <c r="E254" i="10"/>
  <c r="C254" i="10" s="1"/>
  <c r="K253" i="10"/>
  <c r="J253" i="10"/>
  <c r="I253" i="10"/>
  <c r="H253" i="10"/>
  <c r="G253" i="10"/>
  <c r="F253" i="10"/>
  <c r="E253" i="10"/>
  <c r="C253" i="10" s="1"/>
  <c r="K252" i="10"/>
  <c r="J252" i="10"/>
  <c r="I252" i="10"/>
  <c r="H252" i="10"/>
  <c r="G252" i="10"/>
  <c r="E252" i="10"/>
  <c r="F252" i="10" s="1"/>
  <c r="K251" i="10"/>
  <c r="J251" i="10"/>
  <c r="I251" i="10"/>
  <c r="H251" i="10"/>
  <c r="G251" i="10"/>
  <c r="E251" i="10"/>
  <c r="C251" i="10" s="1"/>
  <c r="A251" i="10" s="1"/>
  <c r="B251" i="10" s="1"/>
  <c r="K250" i="10"/>
  <c r="J250" i="10"/>
  <c r="I250" i="10"/>
  <c r="H250" i="10"/>
  <c r="G250" i="10"/>
  <c r="E250" i="10"/>
  <c r="K249" i="10"/>
  <c r="J249" i="10"/>
  <c r="I249" i="10"/>
  <c r="H249" i="10"/>
  <c r="G249" i="10"/>
  <c r="E249" i="10"/>
  <c r="K248" i="10"/>
  <c r="J248" i="10"/>
  <c r="I248" i="10"/>
  <c r="H248" i="10"/>
  <c r="G248" i="10"/>
  <c r="E248" i="10"/>
  <c r="C248" i="10" s="1"/>
  <c r="K247" i="10"/>
  <c r="J247" i="10"/>
  <c r="I247" i="10"/>
  <c r="H247" i="10"/>
  <c r="G247" i="10"/>
  <c r="E247" i="10"/>
  <c r="C247" i="10" s="1"/>
  <c r="K246" i="10"/>
  <c r="J246" i="10"/>
  <c r="I246" i="10"/>
  <c r="H246" i="10"/>
  <c r="G246" i="10"/>
  <c r="F246" i="10"/>
  <c r="E246" i="10"/>
  <c r="C246" i="10" s="1"/>
  <c r="K245" i="10"/>
  <c r="J245" i="10"/>
  <c r="I245" i="10"/>
  <c r="H245" i="10"/>
  <c r="G245" i="10"/>
  <c r="E245" i="10"/>
  <c r="C245" i="10" s="1"/>
  <c r="D245" i="10" s="1"/>
  <c r="K244" i="10"/>
  <c r="J244" i="10"/>
  <c r="I244" i="10"/>
  <c r="H244" i="10"/>
  <c r="G244" i="10"/>
  <c r="E244" i="10"/>
  <c r="C244" i="10" s="1"/>
  <c r="K243" i="10"/>
  <c r="J243" i="10"/>
  <c r="I243" i="10"/>
  <c r="H243" i="10"/>
  <c r="G243" i="10"/>
  <c r="E243" i="10"/>
  <c r="C243" i="10" s="1"/>
  <c r="A243" i="10" s="1"/>
  <c r="B243" i="10" s="1"/>
  <c r="K242" i="10"/>
  <c r="J242" i="10"/>
  <c r="I242" i="10"/>
  <c r="H242" i="10"/>
  <c r="G242" i="10"/>
  <c r="E242" i="10"/>
  <c r="K241" i="10"/>
  <c r="J241" i="10"/>
  <c r="I241" i="10"/>
  <c r="H241" i="10"/>
  <c r="G241" i="10"/>
  <c r="E241" i="10"/>
  <c r="K240" i="10"/>
  <c r="J240" i="10"/>
  <c r="I240" i="10"/>
  <c r="H240" i="10"/>
  <c r="G240" i="10"/>
  <c r="F240" i="10"/>
  <c r="E240" i="10"/>
  <c r="C240" i="10"/>
  <c r="D240" i="10" s="1"/>
  <c r="K239" i="10"/>
  <c r="J239" i="10"/>
  <c r="I239" i="10"/>
  <c r="H239" i="10"/>
  <c r="G239" i="10"/>
  <c r="E239" i="10"/>
  <c r="F239" i="10" s="1"/>
  <c r="K238" i="10"/>
  <c r="J238" i="10"/>
  <c r="I238" i="10"/>
  <c r="H238" i="10"/>
  <c r="G238" i="10"/>
  <c r="F238" i="10"/>
  <c r="E238" i="10"/>
  <c r="C238" i="10"/>
  <c r="A238" i="10" s="1"/>
  <c r="B238" i="10" s="1"/>
  <c r="K237" i="10"/>
  <c r="J237" i="10"/>
  <c r="I237" i="10"/>
  <c r="H237" i="10"/>
  <c r="G237" i="10"/>
  <c r="E237" i="10"/>
  <c r="C237" i="10" s="1"/>
  <c r="A237" i="10" s="1"/>
  <c r="B237" i="10" s="1"/>
  <c r="D237" i="10"/>
  <c r="K236" i="10"/>
  <c r="J236" i="10"/>
  <c r="I236" i="10"/>
  <c r="H236" i="10"/>
  <c r="G236" i="10"/>
  <c r="E236" i="10"/>
  <c r="F236" i="10" s="1"/>
  <c r="K235" i="10"/>
  <c r="J235" i="10"/>
  <c r="I235" i="10"/>
  <c r="H235" i="10"/>
  <c r="G235" i="10"/>
  <c r="F235" i="10"/>
  <c r="E235" i="10"/>
  <c r="C235" i="10" s="1"/>
  <c r="K234" i="10"/>
  <c r="J234" i="10"/>
  <c r="I234" i="10"/>
  <c r="H234" i="10"/>
  <c r="G234" i="10"/>
  <c r="E234" i="10"/>
  <c r="F234" i="10" s="1"/>
  <c r="K233" i="10"/>
  <c r="J233" i="10"/>
  <c r="I233" i="10"/>
  <c r="H233" i="10"/>
  <c r="G233" i="10"/>
  <c r="F233" i="10"/>
  <c r="E233" i="10"/>
  <c r="C233" i="10"/>
  <c r="K232" i="10"/>
  <c r="J232" i="10"/>
  <c r="I232" i="10"/>
  <c r="H232" i="10"/>
  <c r="G232" i="10"/>
  <c r="E232" i="10"/>
  <c r="K231" i="10"/>
  <c r="J231" i="10"/>
  <c r="I231" i="10"/>
  <c r="H231" i="10"/>
  <c r="G231" i="10"/>
  <c r="F231" i="10"/>
  <c r="E231" i="10"/>
  <c r="C231" i="10"/>
  <c r="D231" i="10" s="1"/>
  <c r="K230" i="10"/>
  <c r="J230" i="10"/>
  <c r="I230" i="10"/>
  <c r="H230" i="10"/>
  <c r="G230" i="10"/>
  <c r="F230" i="10"/>
  <c r="E230" i="10"/>
  <c r="C230" i="10"/>
  <c r="A230" i="10" s="1"/>
  <c r="B230" i="10" s="1"/>
  <c r="K229" i="10"/>
  <c r="J229" i="10"/>
  <c r="I229" i="10"/>
  <c r="H229" i="10"/>
  <c r="G229" i="10"/>
  <c r="F229" i="10"/>
  <c r="E229" i="10"/>
  <c r="C229" i="10"/>
  <c r="K228" i="10"/>
  <c r="J228" i="10"/>
  <c r="I228" i="10"/>
  <c r="H228" i="10"/>
  <c r="G228" i="10"/>
  <c r="F228" i="10"/>
  <c r="E228" i="10"/>
  <c r="C228" i="10"/>
  <c r="D228" i="10" s="1"/>
  <c r="K227" i="10"/>
  <c r="J227" i="10"/>
  <c r="I227" i="10"/>
  <c r="H227" i="10"/>
  <c r="G227" i="10"/>
  <c r="F227" i="10"/>
  <c r="E227" i="10"/>
  <c r="C227" i="10" s="1"/>
  <c r="D227" i="10"/>
  <c r="A227" i="10"/>
  <c r="B227" i="10" s="1"/>
  <c r="K226" i="10"/>
  <c r="J226" i="10"/>
  <c r="I226" i="10"/>
  <c r="H226" i="10"/>
  <c r="G226" i="10"/>
  <c r="E226" i="10"/>
  <c r="F226" i="10" s="1"/>
  <c r="C226" i="10"/>
  <c r="K225" i="10"/>
  <c r="J225" i="10"/>
  <c r="I225" i="10"/>
  <c r="H225" i="10"/>
  <c r="G225" i="10"/>
  <c r="E225" i="10"/>
  <c r="K224" i="10"/>
  <c r="J224" i="10"/>
  <c r="I224" i="10"/>
  <c r="H224" i="10"/>
  <c r="G224" i="10"/>
  <c r="E224" i="10"/>
  <c r="K223" i="10"/>
  <c r="J223" i="10"/>
  <c r="I223" i="10"/>
  <c r="H223" i="10"/>
  <c r="G223" i="10"/>
  <c r="E223" i="10"/>
  <c r="F223" i="10" s="1"/>
  <c r="K222" i="10"/>
  <c r="J222" i="10"/>
  <c r="I222" i="10"/>
  <c r="H222" i="10"/>
  <c r="G222" i="10"/>
  <c r="E222" i="10"/>
  <c r="K221" i="10"/>
  <c r="J221" i="10"/>
  <c r="I221" i="10"/>
  <c r="H221" i="10"/>
  <c r="G221" i="10"/>
  <c r="E221" i="10"/>
  <c r="F221" i="10" s="1"/>
  <c r="K220" i="10"/>
  <c r="J220" i="10"/>
  <c r="I220" i="10"/>
  <c r="H220" i="10"/>
  <c r="G220" i="10"/>
  <c r="F220" i="10"/>
  <c r="E220" i="10"/>
  <c r="C220" i="10" s="1"/>
  <c r="A220" i="10" s="1"/>
  <c r="B220" i="10" s="1"/>
  <c r="K219" i="10"/>
  <c r="J219" i="10"/>
  <c r="I219" i="10"/>
  <c r="H219" i="10"/>
  <c r="G219" i="10"/>
  <c r="E219" i="10"/>
  <c r="K218" i="10"/>
  <c r="J218" i="10"/>
  <c r="I218" i="10"/>
  <c r="H218" i="10"/>
  <c r="G218" i="10"/>
  <c r="E218" i="10"/>
  <c r="F218" i="10" s="1"/>
  <c r="K217" i="10"/>
  <c r="J217" i="10"/>
  <c r="I217" i="10"/>
  <c r="H217" i="10"/>
  <c r="G217" i="10"/>
  <c r="E217" i="10"/>
  <c r="F217" i="10" s="1"/>
  <c r="K216" i="10"/>
  <c r="J216" i="10"/>
  <c r="I216" i="10"/>
  <c r="H216" i="10"/>
  <c r="G216" i="10"/>
  <c r="E216" i="10"/>
  <c r="K215" i="10"/>
  <c r="J215" i="10"/>
  <c r="I215" i="10"/>
  <c r="H215" i="10"/>
  <c r="G215" i="10"/>
  <c r="E215" i="10"/>
  <c r="K214" i="10"/>
  <c r="J214" i="10"/>
  <c r="I214" i="10"/>
  <c r="H214" i="10"/>
  <c r="G214" i="10"/>
  <c r="E214" i="10"/>
  <c r="F214" i="10" s="1"/>
  <c r="K213" i="10"/>
  <c r="J213" i="10"/>
  <c r="I213" i="10"/>
  <c r="H213" i="10"/>
  <c r="G213" i="10"/>
  <c r="E213" i="10"/>
  <c r="F213" i="10" s="1"/>
  <c r="K212" i="10"/>
  <c r="J212" i="10"/>
  <c r="I212" i="10"/>
  <c r="H212" i="10"/>
  <c r="G212" i="10"/>
  <c r="F212" i="10"/>
  <c r="E212" i="10"/>
  <c r="C212" i="10" s="1"/>
  <c r="K211" i="10"/>
  <c r="J211" i="10"/>
  <c r="I211" i="10"/>
  <c r="H211" i="10"/>
  <c r="G211" i="10"/>
  <c r="E211" i="10"/>
  <c r="K210" i="10"/>
  <c r="J210" i="10"/>
  <c r="I210" i="10"/>
  <c r="H210" i="10"/>
  <c r="G210" i="10"/>
  <c r="E210" i="10"/>
  <c r="K209" i="10"/>
  <c r="J209" i="10"/>
  <c r="I209" i="10"/>
  <c r="H209" i="10"/>
  <c r="G209" i="10"/>
  <c r="F209" i="10"/>
  <c r="E209" i="10"/>
  <c r="C209" i="10" s="1"/>
  <c r="K208" i="10"/>
  <c r="J208" i="10"/>
  <c r="I208" i="10"/>
  <c r="H208" i="10"/>
  <c r="G208" i="10"/>
  <c r="E208" i="10"/>
  <c r="C208" i="10" s="1"/>
  <c r="D208" i="10" s="1"/>
  <c r="K207" i="10"/>
  <c r="J207" i="10"/>
  <c r="I207" i="10"/>
  <c r="H207" i="10"/>
  <c r="G207" i="10"/>
  <c r="E207" i="10"/>
  <c r="F207" i="10" s="1"/>
  <c r="K206" i="10"/>
  <c r="J206" i="10"/>
  <c r="I206" i="10"/>
  <c r="H206" i="10"/>
  <c r="G206" i="10"/>
  <c r="F206" i="10"/>
  <c r="E206" i="10"/>
  <c r="C206" i="10" s="1"/>
  <c r="D206" i="10"/>
  <c r="A206" i="10"/>
  <c r="B206" i="10" s="1"/>
  <c r="K205" i="10"/>
  <c r="J205" i="10"/>
  <c r="I205" i="10"/>
  <c r="H205" i="10"/>
  <c r="G205" i="10"/>
  <c r="F205" i="10"/>
  <c r="E205" i="10"/>
  <c r="D205" i="10"/>
  <c r="C205" i="10"/>
  <c r="A205" i="10" s="1"/>
  <c r="B205" i="10" s="1"/>
  <c r="K204" i="10"/>
  <c r="J204" i="10"/>
  <c r="I204" i="10"/>
  <c r="H204" i="10"/>
  <c r="G204" i="10"/>
  <c r="E204" i="10"/>
  <c r="F204" i="10" s="1"/>
  <c r="K203" i="10"/>
  <c r="J203" i="10"/>
  <c r="I203" i="10"/>
  <c r="H203" i="10"/>
  <c r="G203" i="10"/>
  <c r="E203" i="10"/>
  <c r="K202" i="10"/>
  <c r="J202" i="10"/>
  <c r="I202" i="10"/>
  <c r="H202" i="10"/>
  <c r="G202" i="10"/>
  <c r="E202" i="10"/>
  <c r="F202" i="10" s="1"/>
  <c r="C202" i="10"/>
  <c r="K201" i="10"/>
  <c r="J201" i="10"/>
  <c r="I201" i="10"/>
  <c r="H201" i="10"/>
  <c r="G201" i="10"/>
  <c r="E201" i="10"/>
  <c r="F201" i="10" s="1"/>
  <c r="C201" i="10"/>
  <c r="K200" i="10"/>
  <c r="J200" i="10"/>
  <c r="I200" i="10"/>
  <c r="H200" i="10"/>
  <c r="G200" i="10"/>
  <c r="E200" i="10"/>
  <c r="F200" i="10" s="1"/>
  <c r="C200" i="10"/>
  <c r="K199" i="10"/>
  <c r="J199" i="10"/>
  <c r="I199" i="10"/>
  <c r="H199" i="10"/>
  <c r="G199" i="10"/>
  <c r="E199" i="10"/>
  <c r="K198" i="10"/>
  <c r="J198" i="10"/>
  <c r="I198" i="10"/>
  <c r="H198" i="10"/>
  <c r="G198" i="10"/>
  <c r="E198" i="10"/>
  <c r="F198" i="10" s="1"/>
  <c r="K197" i="10"/>
  <c r="J197" i="10"/>
  <c r="I197" i="10"/>
  <c r="H197" i="10"/>
  <c r="G197" i="10"/>
  <c r="E197" i="10"/>
  <c r="F197" i="10" s="1"/>
  <c r="K196" i="10"/>
  <c r="J196" i="10"/>
  <c r="I196" i="10"/>
  <c r="H196" i="10"/>
  <c r="G196" i="10"/>
  <c r="E196" i="10"/>
  <c r="F196" i="10" s="1"/>
  <c r="K195" i="10"/>
  <c r="J195" i="10"/>
  <c r="I195" i="10"/>
  <c r="H195" i="10"/>
  <c r="G195" i="10"/>
  <c r="E195" i="10"/>
  <c r="K194" i="10"/>
  <c r="J194" i="10"/>
  <c r="I194" i="10"/>
  <c r="H194" i="10"/>
  <c r="G194" i="10"/>
  <c r="E194" i="10"/>
  <c r="K193" i="10"/>
  <c r="J193" i="10"/>
  <c r="I193" i="10"/>
  <c r="H193" i="10"/>
  <c r="G193" i="10"/>
  <c r="F193" i="10"/>
  <c r="E193" i="10"/>
  <c r="C193" i="10" s="1"/>
  <c r="A193" i="10" s="1"/>
  <c r="B193" i="10" s="1"/>
  <c r="D193" i="10"/>
  <c r="K192" i="10"/>
  <c r="J192" i="10"/>
  <c r="I192" i="10"/>
  <c r="H192" i="10"/>
  <c r="G192" i="10"/>
  <c r="F192" i="10"/>
  <c r="E192" i="10"/>
  <c r="C192" i="10"/>
  <c r="D192" i="10" s="1"/>
  <c r="A192" i="10"/>
  <c r="B192" i="10" s="1"/>
  <c r="K191" i="10"/>
  <c r="J191" i="10"/>
  <c r="I191" i="10"/>
  <c r="H191" i="10"/>
  <c r="G191" i="10"/>
  <c r="E191" i="10"/>
  <c r="K190" i="10"/>
  <c r="J190" i="10"/>
  <c r="I190" i="10"/>
  <c r="H190" i="10"/>
  <c r="G190" i="10"/>
  <c r="E190" i="10"/>
  <c r="F190" i="10" s="1"/>
  <c r="C190" i="10"/>
  <c r="K189" i="10"/>
  <c r="J189" i="10"/>
  <c r="I189" i="10"/>
  <c r="H189" i="10"/>
  <c r="G189" i="10"/>
  <c r="E189" i="10"/>
  <c r="K188" i="10"/>
  <c r="J188" i="10"/>
  <c r="I188" i="10"/>
  <c r="H188" i="10"/>
  <c r="G188" i="10"/>
  <c r="E188" i="10"/>
  <c r="K187" i="10"/>
  <c r="J187" i="10"/>
  <c r="I187" i="10"/>
  <c r="H187" i="10"/>
  <c r="G187" i="10"/>
  <c r="E187" i="10"/>
  <c r="F187" i="10" s="1"/>
  <c r="C187" i="10"/>
  <c r="K186" i="10"/>
  <c r="J186" i="10"/>
  <c r="I186" i="10"/>
  <c r="H186" i="10"/>
  <c r="G186" i="10"/>
  <c r="F186" i="10"/>
  <c r="E186" i="10"/>
  <c r="C186" i="10"/>
  <c r="K185" i="10"/>
  <c r="J185" i="10"/>
  <c r="I185" i="10"/>
  <c r="H185" i="10"/>
  <c r="G185" i="10"/>
  <c r="F185" i="10"/>
  <c r="E185" i="10"/>
  <c r="C185" i="10"/>
  <c r="D185" i="10" s="1"/>
  <c r="K184" i="10"/>
  <c r="J184" i="10"/>
  <c r="I184" i="10"/>
  <c r="H184" i="10"/>
  <c r="G184" i="10"/>
  <c r="E184" i="10"/>
  <c r="F184" i="10" s="1"/>
  <c r="K183" i="10"/>
  <c r="J183" i="10"/>
  <c r="I183" i="10"/>
  <c r="H183" i="10"/>
  <c r="G183" i="10"/>
  <c r="E183" i="10"/>
  <c r="K182" i="10"/>
  <c r="J182" i="10"/>
  <c r="I182" i="10"/>
  <c r="H182" i="10"/>
  <c r="G182" i="10"/>
  <c r="E182" i="10"/>
  <c r="F182" i="10" s="1"/>
  <c r="K181" i="10"/>
  <c r="J181" i="10"/>
  <c r="I181" i="10"/>
  <c r="H181" i="10"/>
  <c r="G181" i="10"/>
  <c r="E181" i="10"/>
  <c r="F181" i="10" s="1"/>
  <c r="K180" i="10"/>
  <c r="J180" i="10"/>
  <c r="I180" i="10"/>
  <c r="H180" i="10"/>
  <c r="G180" i="10"/>
  <c r="E180" i="10"/>
  <c r="K179" i="10"/>
  <c r="J179" i="10"/>
  <c r="I179" i="10"/>
  <c r="H179" i="10"/>
  <c r="G179" i="10"/>
  <c r="E179" i="10"/>
  <c r="K178" i="10"/>
  <c r="J178" i="10"/>
  <c r="I178" i="10"/>
  <c r="H178" i="10"/>
  <c r="G178" i="10"/>
  <c r="E178" i="10"/>
  <c r="K177" i="10"/>
  <c r="J177" i="10"/>
  <c r="I177" i="10"/>
  <c r="H177" i="10"/>
  <c r="G177" i="10"/>
  <c r="E177" i="10"/>
  <c r="K176" i="10"/>
  <c r="J176" i="10"/>
  <c r="I176" i="10"/>
  <c r="H176" i="10"/>
  <c r="G176" i="10"/>
  <c r="E176" i="10"/>
  <c r="K175" i="10"/>
  <c r="J175" i="10"/>
  <c r="I175" i="10"/>
  <c r="H175" i="10"/>
  <c r="G175" i="10"/>
  <c r="E175" i="10"/>
  <c r="K174" i="10"/>
  <c r="J174" i="10"/>
  <c r="I174" i="10"/>
  <c r="H174" i="10"/>
  <c r="G174" i="10"/>
  <c r="E174" i="10"/>
  <c r="F174" i="10" s="1"/>
  <c r="C174" i="10"/>
  <c r="K173" i="10"/>
  <c r="J173" i="10"/>
  <c r="I173" i="10"/>
  <c r="H173" i="10"/>
  <c r="G173" i="10"/>
  <c r="F173" i="10"/>
  <c r="E173" i="10"/>
  <c r="C173" i="10"/>
  <c r="K172" i="10"/>
  <c r="J172" i="10"/>
  <c r="I172" i="10"/>
  <c r="H172" i="10"/>
  <c r="G172" i="10"/>
  <c r="F172" i="10"/>
  <c r="E172" i="10"/>
  <c r="C172" i="10"/>
  <c r="D172" i="10" s="1"/>
  <c r="K171" i="10"/>
  <c r="J171" i="10"/>
  <c r="I171" i="10"/>
  <c r="H171" i="10"/>
  <c r="G171" i="10"/>
  <c r="F171" i="10"/>
  <c r="E171" i="10"/>
  <c r="C171" i="10"/>
  <c r="D171" i="10" s="1"/>
  <c r="A171" i="10"/>
  <c r="B171" i="10" s="1"/>
  <c r="K170" i="10"/>
  <c r="J170" i="10"/>
  <c r="I170" i="10"/>
  <c r="H170" i="10"/>
  <c r="G170" i="10"/>
  <c r="E170" i="10"/>
  <c r="C170" i="10" s="1"/>
  <c r="A170" i="10" s="1"/>
  <c r="B170" i="10" s="1"/>
  <c r="D170" i="10"/>
  <c r="K169" i="10"/>
  <c r="J169" i="10"/>
  <c r="I169" i="10"/>
  <c r="H169" i="10"/>
  <c r="G169" i="10"/>
  <c r="E169" i="10"/>
  <c r="F169" i="10" s="1"/>
  <c r="K168" i="10"/>
  <c r="J168" i="10"/>
  <c r="I168" i="10"/>
  <c r="H168" i="10"/>
  <c r="G168" i="10"/>
  <c r="E168" i="10"/>
  <c r="K167" i="10"/>
  <c r="J167" i="10"/>
  <c r="I167" i="10"/>
  <c r="H167" i="10"/>
  <c r="G167" i="10"/>
  <c r="E167" i="10"/>
  <c r="K166" i="10"/>
  <c r="J166" i="10"/>
  <c r="I166" i="10"/>
  <c r="H166" i="10"/>
  <c r="G166" i="10"/>
  <c r="E166" i="10"/>
  <c r="F166" i="10" s="1"/>
  <c r="C166" i="10"/>
  <c r="K165" i="10"/>
  <c r="J165" i="10"/>
  <c r="I165" i="10"/>
  <c r="H165" i="10"/>
  <c r="G165" i="10"/>
  <c r="E165" i="10"/>
  <c r="K164" i="10"/>
  <c r="J164" i="10"/>
  <c r="I164" i="10"/>
  <c r="H164" i="10"/>
  <c r="G164" i="10"/>
  <c r="E164" i="10"/>
  <c r="K163" i="10"/>
  <c r="J163" i="10"/>
  <c r="I163" i="10"/>
  <c r="H163" i="10"/>
  <c r="G163" i="10"/>
  <c r="F163" i="10"/>
  <c r="E163" i="10"/>
  <c r="C163" i="10"/>
  <c r="K162" i="10"/>
  <c r="J162" i="10"/>
  <c r="I162" i="10"/>
  <c r="H162" i="10"/>
  <c r="G162" i="10"/>
  <c r="F162" i="10"/>
  <c r="E162" i="10"/>
  <c r="C162" i="10" s="1"/>
  <c r="K161" i="10"/>
  <c r="J161" i="10"/>
  <c r="I161" i="10"/>
  <c r="H161" i="10"/>
  <c r="G161" i="10"/>
  <c r="E161" i="10"/>
  <c r="F161" i="10" s="1"/>
  <c r="K160" i="10"/>
  <c r="J160" i="10"/>
  <c r="I160" i="10"/>
  <c r="H160" i="10"/>
  <c r="G160" i="10"/>
  <c r="E160" i="10"/>
  <c r="K159" i="10"/>
  <c r="J159" i="10"/>
  <c r="I159" i="10"/>
  <c r="H159" i="10"/>
  <c r="G159" i="10"/>
  <c r="E159" i="10"/>
  <c r="K158" i="10"/>
  <c r="J158" i="10"/>
  <c r="I158" i="10"/>
  <c r="H158" i="10"/>
  <c r="G158" i="10"/>
  <c r="E158" i="10"/>
  <c r="F158" i="10" s="1"/>
  <c r="K157" i="10"/>
  <c r="J157" i="10"/>
  <c r="I157" i="10"/>
  <c r="H157" i="10"/>
  <c r="G157" i="10"/>
  <c r="E157" i="10"/>
  <c r="C157" i="10" s="1"/>
  <c r="K156" i="10"/>
  <c r="J156" i="10"/>
  <c r="I156" i="10"/>
  <c r="H156" i="10"/>
  <c r="G156" i="10"/>
  <c r="E156" i="10"/>
  <c r="F156" i="10" s="1"/>
  <c r="K155" i="10"/>
  <c r="J155" i="10"/>
  <c r="I155" i="10"/>
  <c r="H155" i="10"/>
  <c r="G155" i="10"/>
  <c r="F155" i="10"/>
  <c r="E155" i="10"/>
  <c r="C155" i="10"/>
  <c r="D155" i="10" s="1"/>
  <c r="A155" i="10"/>
  <c r="B155" i="10" s="1"/>
  <c r="K154" i="10"/>
  <c r="J154" i="10"/>
  <c r="I154" i="10"/>
  <c r="H154" i="10"/>
  <c r="G154" i="10"/>
  <c r="E154" i="10"/>
  <c r="C154" i="10" s="1"/>
  <c r="A154" i="10" s="1"/>
  <c r="B154" i="10" s="1"/>
  <c r="D154" i="10"/>
  <c r="K153" i="10"/>
  <c r="J153" i="10"/>
  <c r="I153" i="10"/>
  <c r="H153" i="10"/>
  <c r="G153" i="10"/>
  <c r="E153" i="10"/>
  <c r="F153" i="10" s="1"/>
  <c r="C153" i="10"/>
  <c r="D153" i="10" s="1"/>
  <c r="K152" i="10"/>
  <c r="J152" i="10"/>
  <c r="I152" i="10"/>
  <c r="H152" i="10"/>
  <c r="G152" i="10"/>
  <c r="E152" i="10"/>
  <c r="K151" i="10"/>
  <c r="J151" i="10"/>
  <c r="I151" i="10"/>
  <c r="H151" i="10"/>
  <c r="G151" i="10"/>
  <c r="E151" i="10"/>
  <c r="K150" i="10"/>
  <c r="J150" i="10"/>
  <c r="I150" i="10"/>
  <c r="H150" i="10"/>
  <c r="G150" i="10"/>
  <c r="E150" i="10"/>
  <c r="K149" i="10"/>
  <c r="J149" i="10"/>
  <c r="I149" i="10"/>
  <c r="H149" i="10"/>
  <c r="G149" i="10"/>
  <c r="E149" i="10"/>
  <c r="C149" i="10" s="1"/>
  <c r="K148" i="10"/>
  <c r="J148" i="10"/>
  <c r="I148" i="10"/>
  <c r="H148" i="10"/>
  <c r="G148" i="10"/>
  <c r="E148" i="10"/>
  <c r="F148" i="10" s="1"/>
  <c r="C148" i="10"/>
  <c r="D148" i="10" s="1"/>
  <c r="K147" i="10"/>
  <c r="J147" i="10"/>
  <c r="I147" i="10"/>
  <c r="H147" i="10"/>
  <c r="G147" i="10"/>
  <c r="E147" i="10"/>
  <c r="F147" i="10" s="1"/>
  <c r="C147" i="10"/>
  <c r="D147" i="10" s="1"/>
  <c r="K146" i="10"/>
  <c r="J146" i="10"/>
  <c r="I146" i="10"/>
  <c r="H146" i="10"/>
  <c r="G146" i="10"/>
  <c r="E146" i="10"/>
  <c r="C146" i="10" s="1"/>
  <c r="A146" i="10" s="1"/>
  <c r="B146" i="10" s="1"/>
  <c r="K145" i="10"/>
  <c r="J145" i="10"/>
  <c r="I145" i="10"/>
  <c r="H145" i="10"/>
  <c r="G145" i="10"/>
  <c r="E145" i="10"/>
  <c r="F145" i="10" s="1"/>
  <c r="C145" i="10"/>
  <c r="K144" i="10"/>
  <c r="J144" i="10"/>
  <c r="I144" i="10"/>
  <c r="H144" i="10"/>
  <c r="G144" i="10"/>
  <c r="E144" i="10"/>
  <c r="C144" i="10" s="1"/>
  <c r="A144" i="10" s="1"/>
  <c r="B144" i="10" s="1"/>
  <c r="D144" i="10"/>
  <c r="K143" i="10"/>
  <c r="J143" i="10"/>
  <c r="I143" i="10"/>
  <c r="H143" i="10"/>
  <c r="G143" i="10"/>
  <c r="E143" i="10"/>
  <c r="K142" i="10"/>
  <c r="J142" i="10"/>
  <c r="I142" i="10"/>
  <c r="H142" i="10"/>
  <c r="G142" i="10"/>
  <c r="E142" i="10"/>
  <c r="F142" i="10" s="1"/>
  <c r="K141" i="10"/>
  <c r="J141" i="10"/>
  <c r="I141" i="10"/>
  <c r="H141" i="10"/>
  <c r="G141" i="10"/>
  <c r="F141" i="10"/>
  <c r="E141" i="10"/>
  <c r="C141" i="10"/>
  <c r="K140" i="10"/>
  <c r="J140" i="10"/>
  <c r="I140" i="10"/>
  <c r="H140" i="10"/>
  <c r="G140" i="10"/>
  <c r="F140" i="10"/>
  <c r="E140" i="10"/>
  <c r="C140" i="10"/>
  <c r="D140" i="10" s="1"/>
  <c r="A140" i="10"/>
  <c r="B140" i="10" s="1"/>
  <c r="K139" i="10"/>
  <c r="J139" i="10"/>
  <c r="I139" i="10"/>
  <c r="H139" i="10"/>
  <c r="G139" i="10"/>
  <c r="E139" i="10"/>
  <c r="F139" i="10" s="1"/>
  <c r="C139" i="10"/>
  <c r="D139" i="10" s="1"/>
  <c r="A139" i="10"/>
  <c r="B139" i="10" s="1"/>
  <c r="K138" i="10"/>
  <c r="J138" i="10"/>
  <c r="I138" i="10"/>
  <c r="H138" i="10"/>
  <c r="G138" i="10"/>
  <c r="E138" i="10"/>
  <c r="C138" i="10" s="1"/>
  <c r="A138" i="10" s="1"/>
  <c r="B138" i="10" s="1"/>
  <c r="D138" i="10"/>
  <c r="K137" i="10"/>
  <c r="J137" i="10"/>
  <c r="I137" i="10"/>
  <c r="H137" i="10"/>
  <c r="G137" i="10"/>
  <c r="E137" i="10"/>
  <c r="F137" i="10" s="1"/>
  <c r="C137" i="10"/>
  <c r="A137" i="10" s="1"/>
  <c r="B137" i="10" s="1"/>
  <c r="K136" i="10"/>
  <c r="J136" i="10"/>
  <c r="I136" i="10"/>
  <c r="H136" i="10"/>
  <c r="G136" i="10"/>
  <c r="E136" i="10"/>
  <c r="C136" i="10" s="1"/>
  <c r="A136" i="10" s="1"/>
  <c r="B136" i="10" s="1"/>
  <c r="K135" i="10"/>
  <c r="J135" i="10"/>
  <c r="I135" i="10"/>
  <c r="H135" i="10"/>
  <c r="G135" i="10"/>
  <c r="E135" i="10"/>
  <c r="K134" i="10"/>
  <c r="J134" i="10"/>
  <c r="I134" i="10"/>
  <c r="H134" i="10"/>
  <c r="G134" i="10"/>
  <c r="E134" i="10"/>
  <c r="F134" i="10" s="1"/>
  <c r="K133" i="10"/>
  <c r="J133" i="10"/>
  <c r="I133" i="10"/>
  <c r="H133" i="10"/>
  <c r="G133" i="10"/>
  <c r="E133" i="10"/>
  <c r="F133" i="10" s="1"/>
  <c r="K132" i="10"/>
  <c r="J132" i="10"/>
  <c r="I132" i="10"/>
  <c r="H132" i="10"/>
  <c r="G132" i="10"/>
  <c r="E132" i="10"/>
  <c r="F132" i="10" s="1"/>
  <c r="K131" i="10"/>
  <c r="J131" i="10"/>
  <c r="I131" i="10"/>
  <c r="H131" i="10"/>
  <c r="G131" i="10"/>
  <c r="E131" i="10"/>
  <c r="F131" i="10" s="1"/>
  <c r="K130" i="10"/>
  <c r="J130" i="10"/>
  <c r="I130" i="10"/>
  <c r="H130" i="10"/>
  <c r="G130" i="10"/>
  <c r="E130" i="10"/>
  <c r="F130" i="10" s="1"/>
  <c r="C130" i="10"/>
  <c r="D130" i="10" s="1"/>
  <c r="A130" i="10"/>
  <c r="B130" i="10" s="1"/>
  <c r="K129" i="10"/>
  <c r="J129" i="10"/>
  <c r="I129" i="10"/>
  <c r="H129" i="10"/>
  <c r="G129" i="10"/>
  <c r="E129" i="10"/>
  <c r="F129" i="10" s="1"/>
  <c r="C129" i="10"/>
  <c r="A129" i="10" s="1"/>
  <c r="B129" i="10" s="1"/>
  <c r="K128" i="10"/>
  <c r="J128" i="10"/>
  <c r="I128" i="10"/>
  <c r="H128" i="10"/>
  <c r="G128" i="10"/>
  <c r="E128" i="10"/>
  <c r="C128" i="10" s="1"/>
  <c r="A128" i="10" s="1"/>
  <c r="B128" i="10" s="1"/>
  <c r="D128" i="10"/>
  <c r="K127" i="10"/>
  <c r="J127" i="10"/>
  <c r="I127" i="10"/>
  <c r="H127" i="10"/>
  <c r="G127" i="10"/>
  <c r="E127" i="10"/>
  <c r="K126" i="10"/>
  <c r="J126" i="10"/>
  <c r="I126" i="10"/>
  <c r="H126" i="10"/>
  <c r="G126" i="10"/>
  <c r="E126" i="10"/>
  <c r="F126" i="10" s="1"/>
  <c r="C126" i="10"/>
  <c r="A126" i="10" s="1"/>
  <c r="B126" i="10"/>
  <c r="K125" i="10"/>
  <c r="J125" i="10"/>
  <c r="I125" i="10"/>
  <c r="H125" i="10"/>
  <c r="G125" i="10"/>
  <c r="E125" i="10"/>
  <c r="F125" i="10" s="1"/>
  <c r="C125" i="10"/>
  <c r="K124" i="10"/>
  <c r="J124" i="10"/>
  <c r="I124" i="10"/>
  <c r="H124" i="10"/>
  <c r="G124" i="10"/>
  <c r="F124" i="10"/>
  <c r="E124" i="10"/>
  <c r="C124" i="10"/>
  <c r="D124" i="10" s="1"/>
  <c r="K123" i="10"/>
  <c r="J123" i="10"/>
  <c r="I123" i="10"/>
  <c r="H123" i="10"/>
  <c r="G123" i="10"/>
  <c r="E123" i="10"/>
  <c r="K122" i="10"/>
  <c r="J122" i="10"/>
  <c r="I122" i="10"/>
  <c r="H122" i="10"/>
  <c r="G122" i="10"/>
  <c r="F122" i="10"/>
  <c r="E122" i="10"/>
  <c r="C122" i="10" s="1"/>
  <c r="D122" i="10" s="1"/>
  <c r="K121" i="10"/>
  <c r="J121" i="10"/>
  <c r="I121" i="10"/>
  <c r="H121" i="10"/>
  <c r="G121" i="10"/>
  <c r="E121" i="10"/>
  <c r="F121" i="10" s="1"/>
  <c r="C121" i="10"/>
  <c r="D121" i="10" s="1"/>
  <c r="K120" i="10"/>
  <c r="J120" i="10"/>
  <c r="I120" i="10"/>
  <c r="H120" i="10"/>
  <c r="G120" i="10"/>
  <c r="E120" i="10"/>
  <c r="C120" i="10" s="1"/>
  <c r="A120" i="10" s="1"/>
  <c r="D120" i="10"/>
  <c r="B120" i="10"/>
  <c r="K119" i="10"/>
  <c r="J119" i="10"/>
  <c r="I119" i="10"/>
  <c r="H119" i="10"/>
  <c r="G119" i="10"/>
  <c r="E119" i="10"/>
  <c r="K118" i="10"/>
  <c r="J118" i="10"/>
  <c r="I118" i="10"/>
  <c r="H118" i="10"/>
  <c r="G118" i="10"/>
  <c r="E118" i="10"/>
  <c r="F118" i="10" s="1"/>
  <c r="K117" i="10"/>
  <c r="J117" i="10"/>
  <c r="I117" i="10"/>
  <c r="H117" i="10"/>
  <c r="G117" i="10"/>
  <c r="E117" i="10"/>
  <c r="F117" i="10" s="1"/>
  <c r="C117" i="10"/>
  <c r="K116" i="10"/>
  <c r="J116" i="10"/>
  <c r="I116" i="10"/>
  <c r="H116" i="10"/>
  <c r="G116" i="10"/>
  <c r="E116" i="10"/>
  <c r="F116" i="10" s="1"/>
  <c r="C116" i="10"/>
  <c r="K115" i="10"/>
  <c r="J115" i="10"/>
  <c r="I115" i="10"/>
  <c r="H115" i="10"/>
  <c r="G115" i="10"/>
  <c r="E115" i="10"/>
  <c r="C115" i="10" s="1"/>
  <c r="K114" i="10"/>
  <c r="J114" i="10"/>
  <c r="I114" i="10"/>
  <c r="H114" i="10"/>
  <c r="G114" i="10"/>
  <c r="F114" i="10"/>
  <c r="E114" i="10"/>
  <c r="C114" i="10" s="1"/>
  <c r="D114" i="10"/>
  <c r="A114" i="10"/>
  <c r="B114" i="10" s="1"/>
  <c r="K113" i="10"/>
  <c r="J113" i="10"/>
  <c r="I113" i="10"/>
  <c r="H113" i="10"/>
  <c r="G113" i="10"/>
  <c r="E113" i="10"/>
  <c r="F113" i="10" s="1"/>
  <c r="C113" i="10"/>
  <c r="D113" i="10" s="1"/>
  <c r="A113" i="10"/>
  <c r="B113" i="10" s="1"/>
  <c r="K112" i="10"/>
  <c r="J112" i="10"/>
  <c r="I112" i="10"/>
  <c r="H112" i="10"/>
  <c r="G112" i="10"/>
  <c r="E112" i="10"/>
  <c r="C112" i="10" s="1"/>
  <c r="A112" i="10" s="1"/>
  <c r="B112" i="10" s="1"/>
  <c r="D112" i="10"/>
  <c r="K111" i="10"/>
  <c r="J111" i="10"/>
  <c r="I111" i="10"/>
  <c r="H111" i="10"/>
  <c r="G111" i="10"/>
  <c r="E111" i="10"/>
  <c r="F111" i="10" s="1"/>
  <c r="C111" i="10"/>
  <c r="K110" i="10"/>
  <c r="J110" i="10"/>
  <c r="I110" i="10"/>
  <c r="H110" i="10"/>
  <c r="G110" i="10"/>
  <c r="F110" i="10"/>
  <c r="E110" i="10"/>
  <c r="C110" i="10" s="1"/>
  <c r="K109" i="10"/>
  <c r="J109" i="10"/>
  <c r="I109" i="10"/>
  <c r="H109" i="10"/>
  <c r="G109" i="10"/>
  <c r="F109" i="10"/>
  <c r="E109" i="10"/>
  <c r="C109" i="10" s="1"/>
  <c r="K108" i="10"/>
  <c r="J108" i="10"/>
  <c r="I108" i="10"/>
  <c r="H108" i="10"/>
  <c r="G108" i="10"/>
  <c r="E108" i="10"/>
  <c r="F108" i="10" s="1"/>
  <c r="K107" i="10"/>
  <c r="J107" i="10"/>
  <c r="I107" i="10"/>
  <c r="H107" i="10"/>
  <c r="G107" i="10"/>
  <c r="E107" i="10"/>
  <c r="F107" i="10" s="1"/>
  <c r="K106" i="10"/>
  <c r="J106" i="10"/>
  <c r="I106" i="10"/>
  <c r="H106" i="10"/>
  <c r="G106" i="10"/>
  <c r="E106" i="10"/>
  <c r="C106" i="10" s="1"/>
  <c r="K105" i="10"/>
  <c r="J105" i="10"/>
  <c r="I105" i="10"/>
  <c r="H105" i="10"/>
  <c r="G105" i="10"/>
  <c r="E105" i="10"/>
  <c r="K104" i="10"/>
  <c r="J104" i="10"/>
  <c r="I104" i="10"/>
  <c r="H104" i="10"/>
  <c r="G104" i="10"/>
  <c r="E104" i="10"/>
  <c r="K103" i="10"/>
  <c r="J103" i="10"/>
  <c r="I103" i="10"/>
  <c r="H103" i="10"/>
  <c r="G103" i="10"/>
  <c r="F103" i="10"/>
  <c r="E103" i="10"/>
  <c r="C103" i="10" s="1"/>
  <c r="K102" i="10"/>
  <c r="J102" i="10"/>
  <c r="I102" i="10"/>
  <c r="H102" i="10"/>
  <c r="G102" i="10"/>
  <c r="E102" i="10"/>
  <c r="F102" i="10" s="1"/>
  <c r="C102" i="10"/>
  <c r="K101" i="10"/>
  <c r="J101" i="10"/>
  <c r="I101" i="10"/>
  <c r="H101" i="10"/>
  <c r="G101" i="10"/>
  <c r="F101" i="10"/>
  <c r="E101" i="10"/>
  <c r="C101" i="10" s="1"/>
  <c r="K100" i="10"/>
  <c r="J100" i="10"/>
  <c r="I100" i="10"/>
  <c r="H100" i="10"/>
  <c r="G100" i="10"/>
  <c r="E100" i="10"/>
  <c r="F100" i="10" s="1"/>
  <c r="K99" i="10"/>
  <c r="J99" i="10"/>
  <c r="I99" i="10"/>
  <c r="H99" i="10"/>
  <c r="G99" i="10"/>
  <c r="E99" i="10"/>
  <c r="F99" i="10" s="1"/>
  <c r="K98" i="10"/>
  <c r="J98" i="10"/>
  <c r="I98" i="10"/>
  <c r="H98" i="10"/>
  <c r="G98" i="10"/>
  <c r="E98" i="10"/>
  <c r="C98" i="10" s="1"/>
  <c r="K97" i="10"/>
  <c r="J97" i="10"/>
  <c r="I97" i="10"/>
  <c r="H97" i="10"/>
  <c r="G97" i="10"/>
  <c r="E97" i="10"/>
  <c r="K96" i="10"/>
  <c r="J96" i="10"/>
  <c r="I96" i="10"/>
  <c r="H96" i="10"/>
  <c r="G96" i="10"/>
  <c r="E96" i="10"/>
  <c r="K95" i="10"/>
  <c r="J95" i="10"/>
  <c r="I95" i="10"/>
  <c r="H95" i="10"/>
  <c r="G95" i="10"/>
  <c r="F95" i="10"/>
  <c r="E95" i="10"/>
  <c r="C95" i="10" s="1"/>
  <c r="K94" i="10"/>
  <c r="J94" i="10"/>
  <c r="I94" i="10"/>
  <c r="H94" i="10"/>
  <c r="G94" i="10"/>
  <c r="E94" i="10"/>
  <c r="F94" i="10" s="1"/>
  <c r="K93" i="10"/>
  <c r="J93" i="10"/>
  <c r="I93" i="10"/>
  <c r="H93" i="10"/>
  <c r="G93" i="10"/>
  <c r="F93" i="10"/>
  <c r="E93" i="10"/>
  <c r="C93" i="10" s="1"/>
  <c r="K92" i="10"/>
  <c r="J92" i="10"/>
  <c r="I92" i="10"/>
  <c r="H92" i="10"/>
  <c r="G92" i="10"/>
  <c r="E92" i="10"/>
  <c r="F92" i="10" s="1"/>
  <c r="C92" i="10"/>
  <c r="D92" i="10" s="1"/>
  <c r="K91" i="10"/>
  <c r="J91" i="10"/>
  <c r="I91" i="10"/>
  <c r="H91" i="10"/>
  <c r="G91" i="10"/>
  <c r="E91" i="10"/>
  <c r="F91" i="10" s="1"/>
  <c r="K90" i="10"/>
  <c r="J90" i="10"/>
  <c r="I90" i="10"/>
  <c r="H90" i="10"/>
  <c r="G90" i="10"/>
  <c r="E90" i="10"/>
  <c r="C90" i="10" s="1"/>
  <c r="K89" i="10"/>
  <c r="J89" i="10"/>
  <c r="I89" i="10"/>
  <c r="H89" i="10"/>
  <c r="G89" i="10"/>
  <c r="E89" i="10"/>
  <c r="K88" i="10"/>
  <c r="J88" i="10"/>
  <c r="I88" i="10"/>
  <c r="H88" i="10"/>
  <c r="G88" i="10"/>
  <c r="E88" i="10"/>
  <c r="K87" i="10"/>
  <c r="J87" i="10"/>
  <c r="I87" i="10"/>
  <c r="H87" i="10"/>
  <c r="G87" i="10"/>
  <c r="E87" i="10"/>
  <c r="F87" i="10" s="1"/>
  <c r="K86" i="10"/>
  <c r="J86" i="10"/>
  <c r="I86" i="10"/>
  <c r="H86" i="10"/>
  <c r="G86" i="10"/>
  <c r="E86" i="10"/>
  <c r="F86" i="10" s="1"/>
  <c r="K85" i="10"/>
  <c r="J85" i="10"/>
  <c r="I85" i="10"/>
  <c r="H85" i="10"/>
  <c r="G85" i="10"/>
  <c r="E85" i="10"/>
  <c r="C85" i="10" s="1"/>
  <c r="K84" i="10"/>
  <c r="J84" i="10"/>
  <c r="I84" i="10"/>
  <c r="H84" i="10"/>
  <c r="G84" i="10"/>
  <c r="E84" i="10"/>
  <c r="F84" i="10" s="1"/>
  <c r="C84" i="10"/>
  <c r="D84" i="10" s="1"/>
  <c r="K83" i="10"/>
  <c r="J83" i="10"/>
  <c r="I83" i="10"/>
  <c r="H83" i="10"/>
  <c r="G83" i="10"/>
  <c r="E83" i="10"/>
  <c r="K82" i="10"/>
  <c r="J82" i="10"/>
  <c r="I82" i="10"/>
  <c r="H82" i="10"/>
  <c r="G82" i="10"/>
  <c r="E82" i="10"/>
  <c r="C82" i="10" s="1"/>
  <c r="K81" i="10"/>
  <c r="J81" i="10"/>
  <c r="I81" i="10"/>
  <c r="H81" i="10"/>
  <c r="G81" i="10"/>
  <c r="E81" i="10"/>
  <c r="F81" i="10" s="1"/>
  <c r="C81" i="10"/>
  <c r="K80" i="10"/>
  <c r="J80" i="10"/>
  <c r="I80" i="10"/>
  <c r="H80" i="10"/>
  <c r="G80" i="10"/>
  <c r="F80" i="10"/>
  <c r="E80" i="10"/>
  <c r="C80" i="10" s="1"/>
  <c r="K79" i="10"/>
  <c r="J79" i="10"/>
  <c r="I79" i="10"/>
  <c r="H79" i="10"/>
  <c r="G79" i="10"/>
  <c r="F79" i="10"/>
  <c r="E79" i="10"/>
  <c r="C79" i="10" s="1"/>
  <c r="D79" i="10" s="1"/>
  <c r="K78" i="10"/>
  <c r="J78" i="10"/>
  <c r="I78" i="10"/>
  <c r="H78" i="10"/>
  <c r="G78" i="10"/>
  <c r="E78" i="10"/>
  <c r="K77" i="10"/>
  <c r="J77" i="10"/>
  <c r="I77" i="10"/>
  <c r="H77" i="10"/>
  <c r="G77" i="10"/>
  <c r="E77" i="10"/>
  <c r="C77" i="10" s="1"/>
  <c r="K76" i="10"/>
  <c r="J76" i="10"/>
  <c r="I76" i="10"/>
  <c r="H76" i="10"/>
  <c r="G76" i="10"/>
  <c r="E76" i="10"/>
  <c r="F76" i="10" s="1"/>
  <c r="C76" i="10"/>
  <c r="D76" i="10" s="1"/>
  <c r="A76" i="10"/>
  <c r="B76" i="10" s="1"/>
  <c r="K75" i="10"/>
  <c r="J75" i="10"/>
  <c r="I75" i="10"/>
  <c r="H75" i="10"/>
  <c r="G75" i="10"/>
  <c r="E75" i="10"/>
  <c r="K74" i="10"/>
  <c r="J74" i="10"/>
  <c r="I74" i="10"/>
  <c r="H74" i="10"/>
  <c r="G74" i="10"/>
  <c r="E74" i="10"/>
  <c r="C74" i="10" s="1"/>
  <c r="K73" i="10"/>
  <c r="J73" i="10"/>
  <c r="I73" i="10"/>
  <c r="H73" i="10"/>
  <c r="G73" i="10"/>
  <c r="E73" i="10"/>
  <c r="F73" i="10" s="1"/>
  <c r="K72" i="10"/>
  <c r="J72" i="10"/>
  <c r="I72" i="10"/>
  <c r="H72" i="10"/>
  <c r="G72" i="10"/>
  <c r="E72" i="10"/>
  <c r="C72" i="10" s="1"/>
  <c r="K71" i="10"/>
  <c r="J71" i="10"/>
  <c r="I71" i="10"/>
  <c r="H71" i="10"/>
  <c r="G71" i="10"/>
  <c r="E71" i="10"/>
  <c r="C71" i="10" s="1"/>
  <c r="D71" i="10" s="1"/>
  <c r="K70" i="10"/>
  <c r="J70" i="10"/>
  <c r="I70" i="10"/>
  <c r="H70" i="10"/>
  <c r="G70" i="10"/>
  <c r="E70" i="10"/>
  <c r="F70" i="10" s="1"/>
  <c r="C70" i="10"/>
  <c r="K69" i="10"/>
  <c r="J69" i="10"/>
  <c r="I69" i="10"/>
  <c r="H69" i="10"/>
  <c r="G69" i="10"/>
  <c r="F69" i="10"/>
  <c r="E69" i="10"/>
  <c r="C69" i="10" s="1"/>
  <c r="K68" i="10"/>
  <c r="J68" i="10"/>
  <c r="I68" i="10"/>
  <c r="H68" i="10"/>
  <c r="G68" i="10"/>
  <c r="E68" i="10"/>
  <c r="F68" i="10" s="1"/>
  <c r="K67" i="10"/>
  <c r="J67" i="10"/>
  <c r="I67" i="10"/>
  <c r="H67" i="10"/>
  <c r="G67" i="10"/>
  <c r="E67" i="10"/>
  <c r="K66" i="10"/>
  <c r="J66" i="10"/>
  <c r="I66" i="10"/>
  <c r="H66" i="10"/>
  <c r="G66" i="10"/>
  <c r="E66" i="10"/>
  <c r="C66" i="10" s="1"/>
  <c r="K65" i="10"/>
  <c r="J65" i="10"/>
  <c r="I65" i="10"/>
  <c r="H65" i="10"/>
  <c r="G65" i="10"/>
  <c r="E65" i="10"/>
  <c r="F65" i="10" s="1"/>
  <c r="K64" i="10"/>
  <c r="J64" i="10"/>
  <c r="I64" i="10"/>
  <c r="H64" i="10"/>
  <c r="G64" i="10"/>
  <c r="F64" i="10"/>
  <c r="E64" i="10"/>
  <c r="C64" i="10" s="1"/>
  <c r="K63" i="10"/>
  <c r="J63" i="10"/>
  <c r="I63" i="10"/>
  <c r="H63" i="10"/>
  <c r="G63" i="10"/>
  <c r="E63" i="10"/>
  <c r="F63" i="10" s="1"/>
  <c r="K62" i="10"/>
  <c r="J62" i="10"/>
  <c r="I62" i="10"/>
  <c r="H62" i="10"/>
  <c r="G62" i="10"/>
  <c r="E62" i="10"/>
  <c r="F62" i="10" s="1"/>
  <c r="K61" i="10"/>
  <c r="J61" i="10"/>
  <c r="I61" i="10"/>
  <c r="H61" i="10"/>
  <c r="G61" i="10"/>
  <c r="E61" i="10"/>
  <c r="C61" i="10" s="1"/>
  <c r="K60" i="10"/>
  <c r="J60" i="10"/>
  <c r="I60" i="10"/>
  <c r="H60" i="10"/>
  <c r="G60" i="10"/>
  <c r="E60" i="10"/>
  <c r="F60" i="10" s="1"/>
  <c r="C60" i="10"/>
  <c r="D60" i="10" s="1"/>
  <c r="A60" i="10"/>
  <c r="B60" i="10" s="1"/>
  <c r="K59" i="10"/>
  <c r="J59" i="10"/>
  <c r="I59" i="10"/>
  <c r="H59" i="10"/>
  <c r="G59" i="10"/>
  <c r="E59" i="10"/>
  <c r="K58" i="10"/>
  <c r="J58" i="10"/>
  <c r="I58" i="10"/>
  <c r="H58" i="10"/>
  <c r="G58" i="10"/>
  <c r="E58" i="10"/>
  <c r="C58" i="10" s="1"/>
  <c r="K57" i="10"/>
  <c r="J57" i="10"/>
  <c r="I57" i="10"/>
  <c r="H57" i="10"/>
  <c r="G57" i="10"/>
  <c r="E57" i="10"/>
  <c r="F57" i="10" s="1"/>
  <c r="K56" i="10"/>
  <c r="J56" i="10"/>
  <c r="I56" i="10"/>
  <c r="H56" i="10"/>
  <c r="G56" i="10"/>
  <c r="E56" i="10"/>
  <c r="C56" i="10" s="1"/>
  <c r="K55" i="10"/>
  <c r="J55" i="10"/>
  <c r="I55" i="10"/>
  <c r="H55" i="10"/>
  <c r="G55" i="10"/>
  <c r="E55" i="10"/>
  <c r="F55" i="10" s="1"/>
  <c r="K54" i="10"/>
  <c r="J54" i="10"/>
  <c r="I54" i="10"/>
  <c r="H54" i="10"/>
  <c r="G54" i="10"/>
  <c r="E54" i="10"/>
  <c r="F54" i="10" s="1"/>
  <c r="K53" i="10"/>
  <c r="J53" i="10"/>
  <c r="I53" i="10"/>
  <c r="H53" i="10"/>
  <c r="G53" i="10"/>
  <c r="F53" i="10"/>
  <c r="E53" i="10"/>
  <c r="C53" i="10" s="1"/>
  <c r="K52" i="10"/>
  <c r="J52" i="10"/>
  <c r="I52" i="10"/>
  <c r="H52" i="10"/>
  <c r="G52" i="10"/>
  <c r="E52" i="10"/>
  <c r="F52" i="10" s="1"/>
  <c r="C52" i="10"/>
  <c r="D52" i="10" s="1"/>
  <c r="K51" i="10"/>
  <c r="J51" i="10"/>
  <c r="I51" i="10"/>
  <c r="H51" i="10"/>
  <c r="G51" i="10"/>
  <c r="E51" i="10"/>
  <c r="K50" i="10"/>
  <c r="J50" i="10"/>
  <c r="I50" i="10"/>
  <c r="H50" i="10"/>
  <c r="G50" i="10"/>
  <c r="E50" i="10"/>
  <c r="C50" i="10" s="1"/>
  <c r="K49" i="10"/>
  <c r="J49" i="10"/>
  <c r="I49" i="10"/>
  <c r="H49" i="10"/>
  <c r="G49" i="10"/>
  <c r="E49" i="10"/>
  <c r="F49" i="10" s="1"/>
  <c r="C49" i="10"/>
  <c r="K48" i="10"/>
  <c r="J48" i="10"/>
  <c r="I48" i="10"/>
  <c r="H48" i="10"/>
  <c r="G48" i="10"/>
  <c r="E48" i="10"/>
  <c r="C48" i="10" s="1"/>
  <c r="K47" i="10"/>
  <c r="J47" i="10"/>
  <c r="I47" i="10"/>
  <c r="H47" i="10"/>
  <c r="G47" i="10"/>
  <c r="F47" i="10"/>
  <c r="E47" i="10"/>
  <c r="C47" i="10"/>
  <c r="D47" i="10" s="1"/>
  <c r="A47" i="10"/>
  <c r="B47" i="10" s="1"/>
  <c r="K46" i="10"/>
  <c r="J46" i="10"/>
  <c r="I46" i="10"/>
  <c r="H46" i="10"/>
  <c r="G46" i="10"/>
  <c r="E46" i="10"/>
  <c r="F46" i="10" s="1"/>
  <c r="C46" i="10"/>
  <c r="A46" i="10" s="1"/>
  <c r="B46" i="10" s="1"/>
  <c r="K45" i="10"/>
  <c r="J45" i="10"/>
  <c r="I45" i="10"/>
  <c r="H45" i="10"/>
  <c r="G45" i="10"/>
  <c r="F45" i="10"/>
  <c r="E45" i="10"/>
  <c r="C45" i="10" s="1"/>
  <c r="K44" i="10"/>
  <c r="J44" i="10"/>
  <c r="I44" i="10"/>
  <c r="H44" i="10"/>
  <c r="G44" i="10"/>
  <c r="E44" i="10"/>
  <c r="F44" i="10" s="1"/>
  <c r="K43" i="10"/>
  <c r="J43" i="10"/>
  <c r="I43" i="10"/>
  <c r="H43" i="10"/>
  <c r="G43" i="10"/>
  <c r="E43" i="10"/>
  <c r="K42" i="10"/>
  <c r="J42" i="10"/>
  <c r="I42" i="10"/>
  <c r="H42" i="10"/>
  <c r="G42" i="10"/>
  <c r="E42" i="10"/>
  <c r="C42" i="10" s="1"/>
  <c r="K41" i="10"/>
  <c r="J41" i="10"/>
  <c r="I41" i="10"/>
  <c r="H41" i="10"/>
  <c r="G41" i="10"/>
  <c r="E41" i="10"/>
  <c r="K40" i="10"/>
  <c r="J40" i="10"/>
  <c r="I40" i="10"/>
  <c r="H40" i="10"/>
  <c r="G40" i="10"/>
  <c r="E40" i="10"/>
  <c r="C40" i="10" s="1"/>
  <c r="K39" i="10"/>
  <c r="J39" i="10"/>
  <c r="I39" i="10"/>
  <c r="H39" i="10"/>
  <c r="G39" i="10"/>
  <c r="F39" i="10"/>
  <c r="E39" i="10"/>
  <c r="C39" i="10"/>
  <c r="K38" i="10"/>
  <c r="J38" i="10"/>
  <c r="I38" i="10"/>
  <c r="H38" i="10"/>
  <c r="G38" i="10"/>
  <c r="E38" i="10"/>
  <c r="K37" i="10"/>
  <c r="J37" i="10"/>
  <c r="I37" i="10"/>
  <c r="H37" i="10"/>
  <c r="G37" i="10"/>
  <c r="F37" i="10"/>
  <c r="E37" i="10"/>
  <c r="C37" i="10" s="1"/>
  <c r="K36" i="10"/>
  <c r="J36" i="10"/>
  <c r="I36" i="10"/>
  <c r="H36" i="10"/>
  <c r="G36" i="10"/>
  <c r="E36" i="10"/>
  <c r="F36" i="10" s="1"/>
  <c r="K35" i="10"/>
  <c r="J35" i="10"/>
  <c r="I35" i="10"/>
  <c r="H35" i="10"/>
  <c r="G35" i="10"/>
  <c r="E35" i="10"/>
  <c r="K34" i="10"/>
  <c r="J34" i="10"/>
  <c r="I34" i="10"/>
  <c r="H34" i="10"/>
  <c r="G34" i="10"/>
  <c r="E34" i="10"/>
  <c r="C34" i="10" s="1"/>
  <c r="K33" i="10"/>
  <c r="J33" i="10"/>
  <c r="I33" i="10"/>
  <c r="H33" i="10"/>
  <c r="G33" i="10"/>
  <c r="E33" i="10"/>
  <c r="F33" i="10" s="1"/>
  <c r="C33" i="10"/>
  <c r="K32" i="10"/>
  <c r="J32" i="10"/>
  <c r="I32" i="10"/>
  <c r="H32" i="10"/>
  <c r="G32" i="10"/>
  <c r="E32" i="10"/>
  <c r="C32" i="10" s="1"/>
  <c r="K31" i="10"/>
  <c r="J31" i="10"/>
  <c r="I31" i="10"/>
  <c r="H31" i="10"/>
  <c r="G31" i="10"/>
  <c r="E31" i="10"/>
  <c r="F31" i="10" s="1"/>
  <c r="K30" i="10"/>
  <c r="J30" i="10"/>
  <c r="I30" i="10"/>
  <c r="H30" i="10"/>
  <c r="G30" i="10"/>
  <c r="E30" i="10"/>
  <c r="F30" i="10" s="1"/>
  <c r="K29" i="10"/>
  <c r="J29" i="10"/>
  <c r="I29" i="10"/>
  <c r="H29" i="10"/>
  <c r="G29" i="10"/>
  <c r="E29" i="10"/>
  <c r="K28" i="10"/>
  <c r="J28" i="10"/>
  <c r="I28" i="10"/>
  <c r="H28" i="10"/>
  <c r="G28" i="10"/>
  <c r="E28" i="10"/>
  <c r="K27" i="10"/>
  <c r="J27" i="10"/>
  <c r="I27" i="10"/>
  <c r="H27" i="10"/>
  <c r="G27" i="10"/>
  <c r="E27" i="10"/>
  <c r="K26" i="10"/>
  <c r="J26" i="10"/>
  <c r="I26" i="10"/>
  <c r="H26" i="10"/>
  <c r="G26" i="10"/>
  <c r="E26" i="10"/>
  <c r="C26" i="10" s="1"/>
  <c r="K25" i="10"/>
  <c r="J25" i="10"/>
  <c r="I25" i="10"/>
  <c r="H25" i="10"/>
  <c r="G25" i="10"/>
  <c r="E25" i="10"/>
  <c r="F25" i="10" s="1"/>
  <c r="K24" i="10"/>
  <c r="J24" i="10"/>
  <c r="I24" i="10"/>
  <c r="H24" i="10"/>
  <c r="G24" i="10"/>
  <c r="E24" i="10"/>
  <c r="C24" i="10" s="1"/>
  <c r="K23" i="10"/>
  <c r="J23" i="10"/>
  <c r="I23" i="10"/>
  <c r="H23" i="10"/>
  <c r="G23" i="10"/>
  <c r="E23" i="10"/>
  <c r="F23" i="10" s="1"/>
  <c r="C23" i="10"/>
  <c r="D23" i="10" s="1"/>
  <c r="K22" i="10"/>
  <c r="J22" i="10"/>
  <c r="I22" i="10"/>
  <c r="H22" i="10"/>
  <c r="G22" i="10"/>
  <c r="E22" i="10"/>
  <c r="F22" i="10" s="1"/>
  <c r="K21" i="10"/>
  <c r="J21" i="10"/>
  <c r="I21" i="10"/>
  <c r="H21" i="10"/>
  <c r="G21" i="10"/>
  <c r="E21" i="10"/>
  <c r="C21" i="10" s="1"/>
  <c r="K20" i="10"/>
  <c r="J20" i="10"/>
  <c r="I20" i="10"/>
  <c r="H20" i="10"/>
  <c r="G20" i="10"/>
  <c r="E20" i="10"/>
  <c r="F20" i="10" s="1"/>
  <c r="C20" i="10"/>
  <c r="D20" i="10" s="1"/>
  <c r="K19" i="10"/>
  <c r="J19" i="10"/>
  <c r="I19" i="10"/>
  <c r="H19" i="10"/>
  <c r="G19" i="10"/>
  <c r="E19" i="10"/>
  <c r="K18" i="10"/>
  <c r="J18" i="10"/>
  <c r="I18" i="10"/>
  <c r="H18" i="10"/>
  <c r="G18" i="10"/>
  <c r="E18" i="10"/>
  <c r="C18" i="10" s="1"/>
  <c r="K17" i="10"/>
  <c r="J17" i="10"/>
  <c r="I17" i="10"/>
  <c r="H17" i="10"/>
  <c r="G17" i="10"/>
  <c r="E17" i="10"/>
  <c r="F17" i="10" s="1"/>
  <c r="C17" i="10"/>
  <c r="K16" i="10"/>
  <c r="J16" i="10"/>
  <c r="I16" i="10"/>
  <c r="H16" i="10"/>
  <c r="G16" i="10"/>
  <c r="F16" i="10"/>
  <c r="E16" i="10"/>
  <c r="C16" i="10" s="1"/>
  <c r="K15" i="10"/>
  <c r="J15" i="10"/>
  <c r="I15" i="10"/>
  <c r="H15" i="10"/>
  <c r="G15" i="10"/>
  <c r="F15" i="10"/>
  <c r="E15" i="10"/>
  <c r="C15" i="10" s="1"/>
  <c r="K14" i="10"/>
  <c r="J14" i="10"/>
  <c r="I14" i="10"/>
  <c r="H14" i="10"/>
  <c r="G14" i="10"/>
  <c r="E14" i="10"/>
  <c r="F14" i="10" s="1"/>
  <c r="K13" i="10"/>
  <c r="J13" i="10"/>
  <c r="I13" i="10"/>
  <c r="H13" i="10"/>
  <c r="G13" i="10"/>
  <c r="F13" i="10"/>
  <c r="E13" i="10"/>
  <c r="C13" i="10" s="1"/>
  <c r="K12" i="10"/>
  <c r="J12" i="10"/>
  <c r="I12" i="10"/>
  <c r="H12" i="10"/>
  <c r="G12" i="10"/>
  <c r="E12" i="10"/>
  <c r="F12" i="10" s="1"/>
  <c r="K11" i="10"/>
  <c r="J11" i="10"/>
  <c r="I11" i="10"/>
  <c r="H11" i="10"/>
  <c r="G11" i="10"/>
  <c r="E11" i="10"/>
  <c r="K10" i="10"/>
  <c r="J10" i="10"/>
  <c r="I10" i="10"/>
  <c r="H10" i="10"/>
  <c r="G10" i="10"/>
  <c r="E10" i="10"/>
  <c r="C10" i="10" s="1"/>
  <c r="K9" i="10"/>
  <c r="J9" i="10"/>
  <c r="I9" i="10"/>
  <c r="H9" i="10"/>
  <c r="G9" i="10"/>
  <c r="E9" i="10"/>
  <c r="F9" i="10" s="1"/>
  <c r="C9" i="10"/>
  <c r="K8" i="10"/>
  <c r="J8" i="10"/>
  <c r="I8" i="10"/>
  <c r="H8" i="10"/>
  <c r="G8" i="10"/>
  <c r="E8" i="10"/>
  <c r="C8" i="10" s="1"/>
  <c r="K7" i="10"/>
  <c r="J7" i="10"/>
  <c r="I7" i="10"/>
  <c r="H7" i="10"/>
  <c r="G7" i="10"/>
  <c r="F7" i="10"/>
  <c r="E7" i="10"/>
  <c r="C7" i="10" s="1"/>
  <c r="K6" i="10"/>
  <c r="J6" i="10"/>
  <c r="I6" i="10"/>
  <c r="H6" i="10"/>
  <c r="G6" i="10"/>
  <c r="E6" i="10"/>
  <c r="F6" i="10" s="1"/>
  <c r="K5" i="10"/>
  <c r="J5" i="10"/>
  <c r="I5" i="10"/>
  <c r="H5" i="10"/>
  <c r="G5" i="10"/>
  <c r="F5" i="10"/>
  <c r="E5" i="10"/>
  <c r="C5" i="10" s="1"/>
  <c r="K4" i="10"/>
  <c r="J4" i="10"/>
  <c r="I4" i="10"/>
  <c r="H4" i="10"/>
  <c r="G4" i="10"/>
  <c r="F4" i="10"/>
  <c r="E4" i="10"/>
  <c r="C4" i="10" s="1"/>
  <c r="K3" i="10"/>
  <c r="J3" i="10"/>
  <c r="I3" i="10"/>
  <c r="H3" i="10"/>
  <c r="G3" i="10"/>
  <c r="E3" i="10"/>
  <c r="K2" i="10"/>
  <c r="J2" i="10"/>
  <c r="I2" i="10"/>
  <c r="H2" i="10"/>
  <c r="G2" i="10"/>
  <c r="E2" i="10"/>
  <c r="C2" i="10" s="1"/>
  <c r="N1000" i="8"/>
  <c r="N999" i="8"/>
  <c r="N998" i="8"/>
  <c r="N997" i="8"/>
  <c r="N996" i="8"/>
  <c r="N995" i="8"/>
  <c r="N994" i="8"/>
  <c r="N993" i="8"/>
  <c r="N992" i="8"/>
  <c r="N991" i="8"/>
  <c r="N990" i="8"/>
  <c r="N989" i="8"/>
  <c r="N988" i="8"/>
  <c r="N987" i="8"/>
  <c r="N986" i="8"/>
  <c r="N985" i="8"/>
  <c r="N984" i="8"/>
  <c r="N983" i="8"/>
  <c r="N982" i="8"/>
  <c r="N981" i="8"/>
  <c r="N980" i="8"/>
  <c r="N979" i="8"/>
  <c r="N978" i="8"/>
  <c r="N977" i="8"/>
  <c r="N976" i="8"/>
  <c r="N975" i="8"/>
  <c r="N974" i="8"/>
  <c r="N973" i="8"/>
  <c r="N972" i="8"/>
  <c r="N971" i="8"/>
  <c r="N970" i="8"/>
  <c r="N969" i="8"/>
  <c r="N968" i="8"/>
  <c r="N967" i="8"/>
  <c r="N966" i="8"/>
  <c r="N965" i="8"/>
  <c r="N964" i="8"/>
  <c r="N963" i="8"/>
  <c r="N962" i="8"/>
  <c r="N961" i="8"/>
  <c r="N960" i="8"/>
  <c r="N959" i="8"/>
  <c r="N958" i="8"/>
  <c r="N957" i="8"/>
  <c r="N956" i="8"/>
  <c r="N955" i="8"/>
  <c r="N954" i="8"/>
  <c r="N953" i="8"/>
  <c r="N952" i="8"/>
  <c r="N951" i="8"/>
  <c r="N950" i="8"/>
  <c r="N949" i="8"/>
  <c r="N948" i="8"/>
  <c r="N947" i="8"/>
  <c r="N946" i="8"/>
  <c r="N945" i="8"/>
  <c r="N944" i="8"/>
  <c r="N943" i="8"/>
  <c r="N942" i="8"/>
  <c r="N941" i="8"/>
  <c r="N940" i="8"/>
  <c r="N939" i="8"/>
  <c r="N938" i="8"/>
  <c r="N937" i="8"/>
  <c r="N936" i="8"/>
  <c r="N935" i="8"/>
  <c r="N934" i="8"/>
  <c r="N933" i="8"/>
  <c r="N932" i="8"/>
  <c r="N931" i="8"/>
  <c r="N930" i="8"/>
  <c r="N929" i="8"/>
  <c r="N928" i="8"/>
  <c r="N927" i="8"/>
  <c r="N926" i="8"/>
  <c r="N925" i="8"/>
  <c r="N924" i="8"/>
  <c r="N923" i="8"/>
  <c r="N922" i="8"/>
  <c r="N921" i="8"/>
  <c r="N920" i="8"/>
  <c r="N919" i="8"/>
  <c r="N918" i="8"/>
  <c r="N917" i="8"/>
  <c r="N916" i="8"/>
  <c r="N915" i="8"/>
  <c r="N914" i="8"/>
  <c r="N913" i="8"/>
  <c r="N912" i="8"/>
  <c r="N911" i="8"/>
  <c r="N910" i="8"/>
  <c r="N909" i="8"/>
  <c r="N908" i="8"/>
  <c r="N907" i="8"/>
  <c r="N906" i="8"/>
  <c r="N905" i="8"/>
  <c r="N904" i="8"/>
  <c r="N903" i="8"/>
  <c r="N902" i="8"/>
  <c r="N901" i="8"/>
  <c r="N900" i="8"/>
  <c r="N899" i="8"/>
  <c r="N898" i="8"/>
  <c r="N897" i="8"/>
  <c r="N896" i="8"/>
  <c r="N895" i="8"/>
  <c r="N894" i="8"/>
  <c r="N893" i="8"/>
  <c r="N892" i="8"/>
  <c r="N891" i="8"/>
  <c r="N890" i="8"/>
  <c r="N889" i="8"/>
  <c r="N888" i="8"/>
  <c r="N887" i="8"/>
  <c r="N886" i="8"/>
  <c r="N885" i="8"/>
  <c r="N884" i="8"/>
  <c r="N883" i="8"/>
  <c r="N882" i="8"/>
  <c r="N881" i="8"/>
  <c r="N880" i="8"/>
  <c r="N879" i="8"/>
  <c r="N878" i="8"/>
  <c r="N877" i="8"/>
  <c r="N876" i="8"/>
  <c r="N875" i="8"/>
  <c r="N874" i="8"/>
  <c r="N873" i="8"/>
  <c r="N872" i="8"/>
  <c r="N871" i="8"/>
  <c r="N870" i="8"/>
  <c r="N869" i="8"/>
  <c r="N868" i="8"/>
  <c r="N867" i="8"/>
  <c r="N866" i="8"/>
  <c r="N865" i="8"/>
  <c r="N864" i="8"/>
  <c r="N863" i="8"/>
  <c r="N862" i="8"/>
  <c r="N861" i="8"/>
  <c r="N860" i="8"/>
  <c r="N859" i="8"/>
  <c r="N858" i="8"/>
  <c r="N857" i="8"/>
  <c r="N856" i="8"/>
  <c r="N855" i="8"/>
  <c r="N854" i="8"/>
  <c r="N853" i="8"/>
  <c r="N852" i="8"/>
  <c r="N851" i="8"/>
  <c r="N850" i="8"/>
  <c r="N849" i="8"/>
  <c r="N848" i="8"/>
  <c r="N847" i="8"/>
  <c r="N846" i="8"/>
  <c r="N845" i="8"/>
  <c r="N844" i="8"/>
  <c r="N843" i="8"/>
  <c r="N842" i="8"/>
  <c r="N841" i="8"/>
  <c r="N840" i="8"/>
  <c r="N839" i="8"/>
  <c r="N838" i="8"/>
  <c r="N837" i="8"/>
  <c r="N836" i="8"/>
  <c r="N835" i="8"/>
  <c r="N834" i="8"/>
  <c r="N833" i="8"/>
  <c r="N832" i="8"/>
  <c r="N831" i="8"/>
  <c r="N830" i="8"/>
  <c r="N829" i="8"/>
  <c r="N828" i="8"/>
  <c r="N827" i="8"/>
  <c r="N826" i="8"/>
  <c r="N825" i="8"/>
  <c r="N824" i="8"/>
  <c r="N823" i="8"/>
  <c r="N822" i="8"/>
  <c r="N821" i="8"/>
  <c r="N820" i="8"/>
  <c r="N819" i="8"/>
  <c r="N818" i="8"/>
  <c r="N817" i="8"/>
  <c r="N816" i="8"/>
  <c r="N815" i="8"/>
  <c r="N814" i="8"/>
  <c r="N813" i="8"/>
  <c r="N812" i="8"/>
  <c r="N811" i="8"/>
  <c r="N810" i="8"/>
  <c r="N809" i="8"/>
  <c r="N808" i="8"/>
  <c r="N807" i="8"/>
  <c r="N806" i="8"/>
  <c r="N805" i="8"/>
  <c r="N804" i="8"/>
  <c r="N803" i="8"/>
  <c r="N802" i="8"/>
  <c r="N801" i="8"/>
  <c r="N800" i="8"/>
  <c r="N799" i="8"/>
  <c r="N798" i="8"/>
  <c r="N797" i="8"/>
  <c r="N796" i="8"/>
  <c r="N795" i="8"/>
  <c r="N794" i="8"/>
  <c r="N793" i="8"/>
  <c r="N792" i="8"/>
  <c r="N791" i="8"/>
  <c r="N790" i="8"/>
  <c r="N789" i="8"/>
  <c r="N788" i="8"/>
  <c r="N787" i="8"/>
  <c r="N786" i="8"/>
  <c r="N785" i="8"/>
  <c r="N784" i="8"/>
  <c r="N783" i="8"/>
  <c r="N782" i="8"/>
  <c r="N781" i="8"/>
  <c r="N780" i="8"/>
  <c r="N779" i="8"/>
  <c r="N778" i="8"/>
  <c r="N777" i="8"/>
  <c r="N776" i="8"/>
  <c r="N775" i="8"/>
  <c r="N774" i="8"/>
  <c r="N773" i="8"/>
  <c r="N772" i="8"/>
  <c r="N771" i="8"/>
  <c r="N770" i="8"/>
  <c r="N769" i="8"/>
  <c r="N768" i="8"/>
  <c r="N767" i="8"/>
  <c r="N766" i="8"/>
  <c r="N765" i="8"/>
  <c r="N764" i="8"/>
  <c r="N763" i="8"/>
  <c r="N762" i="8"/>
  <c r="N761" i="8"/>
  <c r="N760" i="8"/>
  <c r="N759" i="8"/>
  <c r="N758" i="8"/>
  <c r="N757" i="8"/>
  <c r="N756" i="8"/>
  <c r="N755" i="8"/>
  <c r="N754" i="8"/>
  <c r="N753" i="8"/>
  <c r="N752" i="8"/>
  <c r="N751" i="8"/>
  <c r="N750" i="8"/>
  <c r="N749" i="8"/>
  <c r="N748" i="8"/>
  <c r="N747" i="8"/>
  <c r="N746" i="8"/>
  <c r="N745" i="8"/>
  <c r="N744" i="8"/>
  <c r="N743" i="8"/>
  <c r="N742" i="8"/>
  <c r="N741" i="8"/>
  <c r="N740" i="8"/>
  <c r="N739" i="8"/>
  <c r="N738" i="8"/>
  <c r="N737" i="8"/>
  <c r="N736" i="8"/>
  <c r="N735" i="8"/>
  <c r="N734" i="8"/>
  <c r="N733" i="8"/>
  <c r="N732" i="8"/>
  <c r="N731" i="8"/>
  <c r="N730" i="8"/>
  <c r="N729" i="8"/>
  <c r="N728" i="8"/>
  <c r="N727" i="8"/>
  <c r="N726" i="8"/>
  <c r="N725" i="8"/>
  <c r="N724" i="8"/>
  <c r="N723" i="8"/>
  <c r="N722" i="8"/>
  <c r="N721" i="8"/>
  <c r="N720" i="8"/>
  <c r="N719" i="8"/>
  <c r="N718" i="8"/>
  <c r="N717" i="8"/>
  <c r="N716" i="8"/>
  <c r="N715" i="8"/>
  <c r="N714" i="8"/>
  <c r="N713" i="8"/>
  <c r="N712" i="8"/>
  <c r="N711" i="8"/>
  <c r="N710" i="8"/>
  <c r="N709" i="8"/>
  <c r="N708" i="8"/>
  <c r="N707" i="8"/>
  <c r="N706" i="8"/>
  <c r="N705" i="8"/>
  <c r="N704" i="8"/>
  <c r="N703" i="8"/>
  <c r="N702" i="8"/>
  <c r="N701" i="8"/>
  <c r="N700" i="8"/>
  <c r="N699" i="8"/>
  <c r="N698" i="8"/>
  <c r="N697" i="8"/>
  <c r="N696" i="8"/>
  <c r="N695" i="8"/>
  <c r="N694" i="8"/>
  <c r="N693" i="8"/>
  <c r="N692" i="8"/>
  <c r="N691" i="8"/>
  <c r="N690" i="8"/>
  <c r="N689" i="8"/>
  <c r="N688" i="8"/>
  <c r="N687" i="8"/>
  <c r="N686" i="8"/>
  <c r="N685" i="8"/>
  <c r="N684" i="8"/>
  <c r="N683" i="8"/>
  <c r="N682" i="8"/>
  <c r="N681" i="8"/>
  <c r="N680" i="8"/>
  <c r="N679" i="8"/>
  <c r="N678" i="8"/>
  <c r="N677" i="8"/>
  <c r="N676" i="8"/>
  <c r="N675" i="8"/>
  <c r="N674" i="8"/>
  <c r="N673" i="8"/>
  <c r="N672" i="8"/>
  <c r="N671" i="8"/>
  <c r="N670" i="8"/>
  <c r="N669" i="8"/>
  <c r="N668" i="8"/>
  <c r="N667" i="8"/>
  <c r="N666" i="8"/>
  <c r="N665" i="8"/>
  <c r="N664" i="8"/>
  <c r="N663" i="8"/>
  <c r="N662" i="8"/>
  <c r="N661" i="8"/>
  <c r="N660" i="8"/>
  <c r="N659" i="8"/>
  <c r="N658" i="8"/>
  <c r="N657" i="8"/>
  <c r="N656" i="8"/>
  <c r="N655" i="8"/>
  <c r="N654" i="8"/>
  <c r="N653" i="8"/>
  <c r="N652" i="8"/>
  <c r="N651" i="8"/>
  <c r="N650" i="8"/>
  <c r="N649" i="8"/>
  <c r="N648" i="8"/>
  <c r="N647" i="8"/>
  <c r="N646" i="8"/>
  <c r="N645" i="8"/>
  <c r="N644" i="8"/>
  <c r="N643" i="8"/>
  <c r="N642" i="8"/>
  <c r="N641" i="8"/>
  <c r="N640" i="8"/>
  <c r="N639" i="8"/>
  <c r="N638" i="8"/>
  <c r="N637" i="8"/>
  <c r="N636" i="8"/>
  <c r="N635" i="8"/>
  <c r="N634" i="8"/>
  <c r="N633" i="8"/>
  <c r="N632" i="8"/>
  <c r="N631" i="8"/>
  <c r="N630" i="8"/>
  <c r="N629" i="8"/>
  <c r="N628" i="8"/>
  <c r="N627" i="8"/>
  <c r="N626" i="8"/>
  <c r="N625" i="8"/>
  <c r="N624" i="8"/>
  <c r="N623" i="8"/>
  <c r="N622" i="8"/>
  <c r="N621" i="8"/>
  <c r="N620" i="8"/>
  <c r="N619" i="8"/>
  <c r="N618" i="8"/>
  <c r="N617" i="8"/>
  <c r="N616" i="8"/>
  <c r="N615" i="8"/>
  <c r="N614" i="8"/>
  <c r="N613" i="8"/>
  <c r="N612" i="8"/>
  <c r="N611" i="8"/>
  <c r="N610" i="8"/>
  <c r="N609" i="8"/>
  <c r="N608" i="8"/>
  <c r="N607" i="8"/>
  <c r="N606" i="8"/>
  <c r="N605" i="8"/>
  <c r="N604" i="8"/>
  <c r="N603" i="8"/>
  <c r="N602" i="8"/>
  <c r="N601" i="8"/>
  <c r="N600" i="8"/>
  <c r="N599" i="8"/>
  <c r="N598" i="8"/>
  <c r="N597" i="8"/>
  <c r="N596" i="8"/>
  <c r="N595" i="8"/>
  <c r="N594" i="8"/>
  <c r="N593" i="8"/>
  <c r="N592" i="8"/>
  <c r="N591" i="8"/>
  <c r="N590" i="8"/>
  <c r="N589" i="8"/>
  <c r="N588" i="8"/>
  <c r="N587" i="8"/>
  <c r="N586" i="8"/>
  <c r="N585" i="8"/>
  <c r="N584" i="8"/>
  <c r="N583" i="8"/>
  <c r="N582" i="8"/>
  <c r="N581" i="8"/>
  <c r="N580" i="8"/>
  <c r="N579" i="8"/>
  <c r="N578" i="8"/>
  <c r="N577" i="8"/>
  <c r="N576" i="8"/>
  <c r="N575" i="8"/>
  <c r="N574" i="8"/>
  <c r="N573" i="8"/>
  <c r="N572" i="8"/>
  <c r="N571" i="8"/>
  <c r="N570" i="8"/>
  <c r="N569" i="8"/>
  <c r="N568" i="8"/>
  <c r="N567" i="8"/>
  <c r="N566" i="8"/>
  <c r="N565" i="8"/>
  <c r="N564" i="8"/>
  <c r="N563" i="8"/>
  <c r="N562" i="8"/>
  <c r="N561" i="8"/>
  <c r="N560" i="8"/>
  <c r="N559" i="8"/>
  <c r="N558" i="8"/>
  <c r="N557" i="8"/>
  <c r="N556" i="8"/>
  <c r="N555" i="8"/>
  <c r="N554" i="8"/>
  <c r="N553" i="8"/>
  <c r="N552" i="8"/>
  <c r="N551" i="8"/>
  <c r="N550" i="8"/>
  <c r="N549" i="8"/>
  <c r="N548" i="8"/>
  <c r="N547" i="8"/>
  <c r="N546" i="8"/>
  <c r="N545" i="8"/>
  <c r="N544" i="8"/>
  <c r="N543" i="8"/>
  <c r="N542" i="8"/>
  <c r="N541" i="8"/>
  <c r="N540" i="8"/>
  <c r="N539" i="8"/>
  <c r="N538" i="8"/>
  <c r="N537" i="8"/>
  <c r="N536" i="8"/>
  <c r="N535" i="8"/>
  <c r="N534" i="8"/>
  <c r="N533" i="8"/>
  <c r="N532" i="8"/>
  <c r="N531" i="8"/>
  <c r="N530" i="8"/>
  <c r="N529" i="8"/>
  <c r="N528" i="8"/>
  <c r="N527" i="8"/>
  <c r="N526" i="8"/>
  <c r="N525" i="8"/>
  <c r="N524" i="8"/>
  <c r="N523" i="8"/>
  <c r="N522" i="8"/>
  <c r="N521" i="8"/>
  <c r="N520" i="8"/>
  <c r="N519" i="8"/>
  <c r="N518" i="8"/>
  <c r="N517" i="8"/>
  <c r="N516" i="8"/>
  <c r="N515" i="8"/>
  <c r="N514" i="8"/>
  <c r="N513" i="8"/>
  <c r="N512" i="8"/>
  <c r="N511" i="8"/>
  <c r="N510" i="8"/>
  <c r="N509" i="8"/>
  <c r="N508" i="8"/>
  <c r="N507" i="8"/>
  <c r="N506" i="8"/>
  <c r="N505" i="8"/>
  <c r="N504" i="8"/>
  <c r="N503" i="8"/>
  <c r="N502" i="8"/>
  <c r="N501" i="8"/>
  <c r="N500" i="8"/>
  <c r="N499" i="8"/>
  <c r="N498" i="8"/>
  <c r="N497" i="8"/>
  <c r="N496" i="8"/>
  <c r="N495" i="8"/>
  <c r="N494" i="8"/>
  <c r="N493" i="8"/>
  <c r="N492" i="8"/>
  <c r="N491" i="8"/>
  <c r="N490" i="8"/>
  <c r="N489" i="8"/>
  <c r="N488" i="8"/>
  <c r="N487" i="8"/>
  <c r="N486" i="8"/>
  <c r="N485" i="8"/>
  <c r="N484" i="8"/>
  <c r="N483" i="8"/>
  <c r="N482" i="8"/>
  <c r="N481" i="8"/>
  <c r="N480" i="8"/>
  <c r="N479" i="8"/>
  <c r="N478" i="8"/>
  <c r="N477" i="8"/>
  <c r="N476" i="8"/>
  <c r="N475" i="8"/>
  <c r="N474" i="8"/>
  <c r="N473" i="8"/>
  <c r="N472" i="8"/>
  <c r="N471" i="8"/>
  <c r="N470" i="8"/>
  <c r="N469" i="8"/>
  <c r="N468" i="8"/>
  <c r="N467" i="8"/>
  <c r="N466" i="8"/>
  <c r="N465" i="8"/>
  <c r="N464" i="8"/>
  <c r="N463" i="8"/>
  <c r="N462" i="8"/>
  <c r="N461" i="8"/>
  <c r="N460" i="8"/>
  <c r="N459" i="8"/>
  <c r="N458" i="8"/>
  <c r="N457" i="8"/>
  <c r="N456" i="8"/>
  <c r="N455" i="8"/>
  <c r="N454" i="8"/>
  <c r="N453" i="8"/>
  <c r="N452" i="8"/>
  <c r="N451" i="8"/>
  <c r="N450" i="8"/>
  <c r="N449" i="8"/>
  <c r="N448" i="8"/>
  <c r="N447" i="8"/>
  <c r="N446" i="8"/>
  <c r="N445" i="8"/>
  <c r="N444" i="8"/>
  <c r="N443" i="8"/>
  <c r="N442" i="8"/>
  <c r="N441" i="8"/>
  <c r="N440" i="8"/>
  <c r="N439" i="8"/>
  <c r="N438" i="8"/>
  <c r="N437" i="8"/>
  <c r="N436" i="8"/>
  <c r="N435" i="8"/>
  <c r="N434" i="8"/>
  <c r="N433" i="8"/>
  <c r="N432" i="8"/>
  <c r="N431" i="8"/>
  <c r="N430" i="8"/>
  <c r="N429" i="8"/>
  <c r="N428" i="8"/>
  <c r="N427" i="8"/>
  <c r="N426" i="8"/>
  <c r="N425" i="8"/>
  <c r="N424" i="8"/>
  <c r="N423" i="8"/>
  <c r="N422" i="8"/>
  <c r="N421" i="8"/>
  <c r="N420" i="8"/>
  <c r="N419" i="8"/>
  <c r="N418" i="8"/>
  <c r="N417" i="8"/>
  <c r="N416" i="8"/>
  <c r="N415" i="8"/>
  <c r="N414" i="8"/>
  <c r="N413" i="8"/>
  <c r="N412" i="8"/>
  <c r="N411" i="8"/>
  <c r="N410" i="8"/>
  <c r="N409" i="8"/>
  <c r="N408" i="8"/>
  <c r="N407" i="8"/>
  <c r="N406" i="8"/>
  <c r="N405" i="8"/>
  <c r="N404" i="8"/>
  <c r="N402" i="8"/>
  <c r="N401" i="8"/>
  <c r="N400" i="8"/>
  <c r="N399" i="8"/>
  <c r="N398" i="8"/>
  <c r="N397" i="8"/>
  <c r="N396" i="8"/>
  <c r="N395" i="8"/>
  <c r="N394" i="8"/>
  <c r="N393" i="8"/>
  <c r="N392" i="8"/>
  <c r="N391" i="8"/>
  <c r="N390" i="8"/>
  <c r="N389" i="8"/>
  <c r="N388" i="8"/>
  <c r="N387" i="8"/>
  <c r="N386" i="8"/>
  <c r="N385" i="8"/>
  <c r="N384" i="8"/>
  <c r="N383" i="8"/>
  <c r="N382" i="8"/>
  <c r="N381" i="8"/>
  <c r="N380" i="8"/>
  <c r="N379" i="8"/>
  <c r="N378" i="8"/>
  <c r="N377" i="8"/>
  <c r="N376" i="8"/>
  <c r="N375" i="8"/>
  <c r="N374" i="8"/>
  <c r="N373" i="8"/>
  <c r="N372" i="8"/>
  <c r="N371" i="8"/>
  <c r="N370" i="8"/>
  <c r="N369" i="8"/>
  <c r="N368" i="8"/>
  <c r="N367" i="8"/>
  <c r="N366" i="8"/>
  <c r="N365" i="8"/>
  <c r="N364" i="8"/>
  <c r="N363" i="8"/>
  <c r="N362" i="8"/>
  <c r="N361" i="8"/>
  <c r="N360" i="8"/>
  <c r="N359" i="8"/>
  <c r="N358" i="8"/>
  <c r="N357" i="8"/>
  <c r="N356" i="8"/>
  <c r="N355" i="8"/>
  <c r="N354" i="8"/>
  <c r="N353" i="8"/>
  <c r="N352" i="8"/>
  <c r="N351" i="8"/>
  <c r="N350" i="8"/>
  <c r="N349" i="8"/>
  <c r="N348" i="8"/>
  <c r="N347" i="8"/>
  <c r="N346" i="8"/>
  <c r="N345" i="8"/>
  <c r="N344" i="8"/>
  <c r="N343" i="8"/>
  <c r="N342" i="8"/>
  <c r="N341" i="8"/>
  <c r="N340" i="8"/>
  <c r="N339" i="8"/>
  <c r="N338" i="8"/>
  <c r="N337" i="8"/>
  <c r="N336" i="8"/>
  <c r="N335" i="8"/>
  <c r="N334" i="8"/>
  <c r="N333" i="8"/>
  <c r="N332" i="8"/>
  <c r="N331" i="8"/>
  <c r="N330" i="8"/>
  <c r="N329" i="8"/>
  <c r="N328" i="8"/>
  <c r="N327" i="8"/>
  <c r="N326" i="8"/>
  <c r="N325" i="8"/>
  <c r="N324" i="8"/>
  <c r="N323" i="8"/>
  <c r="N322" i="8"/>
  <c r="N321" i="8"/>
  <c r="N320" i="8"/>
  <c r="N319" i="8"/>
  <c r="N318" i="8"/>
  <c r="N317" i="8"/>
  <c r="N316" i="8"/>
  <c r="N315" i="8"/>
  <c r="N314" i="8"/>
  <c r="N313" i="8"/>
  <c r="N312" i="8"/>
  <c r="N311" i="8"/>
  <c r="N310" i="8"/>
  <c r="N309" i="8"/>
  <c r="N308" i="8"/>
  <c r="N307" i="8"/>
  <c r="N306" i="8"/>
  <c r="N305" i="8"/>
  <c r="N304" i="8"/>
  <c r="N303" i="8"/>
  <c r="N302" i="8"/>
  <c r="N301" i="8"/>
  <c r="N300" i="8"/>
  <c r="N299" i="8"/>
  <c r="N298" i="8"/>
  <c r="N297" i="8"/>
  <c r="N296" i="8"/>
  <c r="N295" i="8"/>
  <c r="N294" i="8"/>
  <c r="N293" i="8"/>
  <c r="N292" i="8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N278" i="8"/>
  <c r="N277" i="8"/>
  <c r="N276" i="8"/>
  <c r="N275" i="8"/>
  <c r="N274" i="8"/>
  <c r="N273" i="8"/>
  <c r="N272" i="8"/>
  <c r="N271" i="8"/>
  <c r="N270" i="8"/>
  <c r="N269" i="8"/>
  <c r="N268" i="8"/>
  <c r="N267" i="8"/>
  <c r="N266" i="8"/>
  <c r="N265" i="8"/>
  <c r="N264" i="8"/>
  <c r="N263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D4" i="10" l="1"/>
  <c r="A4" i="10"/>
  <c r="B4" i="10" s="1"/>
  <c r="D103" i="10"/>
  <c r="A103" i="10"/>
  <c r="B103" i="10" s="1"/>
  <c r="D15" i="10"/>
  <c r="A15" i="10"/>
  <c r="B15" i="10" s="1"/>
  <c r="D7" i="10"/>
  <c r="A7" i="10"/>
  <c r="B7" i="10" s="1"/>
  <c r="D95" i="10"/>
  <c r="A95" i="10"/>
  <c r="B95" i="10" s="1"/>
  <c r="D109" i="10"/>
  <c r="A109" i="10"/>
  <c r="B109" i="10" s="1"/>
  <c r="D248" i="10"/>
  <c r="A248" i="10"/>
  <c r="B248" i="10" s="1"/>
  <c r="D277" i="10"/>
  <c r="A277" i="10"/>
  <c r="B277" i="10" s="1"/>
  <c r="D39" i="10"/>
  <c r="A39" i="10"/>
  <c r="B39" i="10" s="1"/>
  <c r="F38" i="10"/>
  <c r="C38" i="10"/>
  <c r="C44" i="10"/>
  <c r="A52" i="10"/>
  <c r="B52" i="10" s="1"/>
  <c r="C54" i="10"/>
  <c r="C65" i="10"/>
  <c r="C94" i="10"/>
  <c r="C108" i="10"/>
  <c r="C175" i="10"/>
  <c r="F175" i="10"/>
  <c r="C179" i="10"/>
  <c r="F179" i="10"/>
  <c r="C197" i="10"/>
  <c r="C214" i="10"/>
  <c r="D220" i="10"/>
  <c r="C221" i="10"/>
  <c r="C223" i="10"/>
  <c r="A235" i="10"/>
  <c r="B235" i="10" s="1"/>
  <c r="D235" i="10"/>
  <c r="F258" i="10"/>
  <c r="C258" i="10"/>
  <c r="C269" i="10"/>
  <c r="A347" i="10"/>
  <c r="B347" i="10" s="1"/>
  <c r="D347" i="10"/>
  <c r="C395" i="10"/>
  <c r="D395" i="10" s="1"/>
  <c r="F395" i="10"/>
  <c r="F146" i="10"/>
  <c r="F41" i="10"/>
  <c r="C41" i="10"/>
  <c r="F105" i="10"/>
  <c r="C105" i="10"/>
  <c r="D105" i="10" s="1"/>
  <c r="C12" i="10"/>
  <c r="A20" i="10"/>
  <c r="B20" i="10" s="1"/>
  <c r="C22" i="10"/>
  <c r="A23" i="10"/>
  <c r="B23" i="10" s="1"/>
  <c r="C29" i="10"/>
  <c r="F29" i="10"/>
  <c r="C36" i="10"/>
  <c r="C55" i="10"/>
  <c r="C62" i="10"/>
  <c r="A62" i="10" s="1"/>
  <c r="B62" i="10" s="1"/>
  <c r="C63" i="10"/>
  <c r="A71" i="10"/>
  <c r="B71" i="10" s="1"/>
  <c r="F78" i="10"/>
  <c r="C78" i="10"/>
  <c r="A78" i="10" s="1"/>
  <c r="B78" i="10" s="1"/>
  <c r="A84" i="10"/>
  <c r="B84" i="10" s="1"/>
  <c r="C86" i="10"/>
  <c r="C87" i="10"/>
  <c r="A92" i="10"/>
  <c r="B92" i="10" s="1"/>
  <c r="C100" i="10"/>
  <c r="A121" i="10"/>
  <c r="B121" i="10" s="1"/>
  <c r="D146" i="10"/>
  <c r="A147" i="10"/>
  <c r="B147" i="10" s="1"/>
  <c r="A148" i="10"/>
  <c r="B148" i="10" s="1"/>
  <c r="C158" i="10"/>
  <c r="C183" i="10"/>
  <c r="D183" i="10" s="1"/>
  <c r="F183" i="10"/>
  <c r="C188" i="10"/>
  <c r="F188" i="10"/>
  <c r="C204" i="10"/>
  <c r="C213" i="10"/>
  <c r="A257" i="10"/>
  <c r="B257" i="10" s="1"/>
  <c r="D257" i="10"/>
  <c r="A268" i="10"/>
  <c r="B268" i="10" s="1"/>
  <c r="D268" i="10"/>
  <c r="D280" i="10"/>
  <c r="A280" i="10"/>
  <c r="B280" i="10" s="1"/>
  <c r="C340" i="10"/>
  <c r="F340" i="10"/>
  <c r="D370" i="10"/>
  <c r="A370" i="10"/>
  <c r="B370" i="10" s="1"/>
  <c r="A371" i="10"/>
  <c r="B371" i="10" s="1"/>
  <c r="D371" i="10"/>
  <c r="A417" i="10"/>
  <c r="B417" i="10" s="1"/>
  <c r="D417" i="10"/>
  <c r="A433" i="10"/>
  <c r="B433" i="10" s="1"/>
  <c r="D433" i="10"/>
  <c r="A244" i="10"/>
  <c r="B244" i="10" s="1"/>
  <c r="D244" i="10"/>
  <c r="F245" i="10"/>
  <c r="F268" i="10"/>
  <c r="F280" i="10"/>
  <c r="D393" i="10"/>
  <c r="A393" i="10"/>
  <c r="B393" i="10" s="1"/>
  <c r="F410" i="10"/>
  <c r="C410" i="10"/>
  <c r="A465" i="10"/>
  <c r="B465" i="10" s="1"/>
  <c r="D465" i="10"/>
  <c r="F165" i="10"/>
  <c r="C165" i="10"/>
  <c r="C178" i="10"/>
  <c r="F178" i="10"/>
  <c r="F21" i="10"/>
  <c r="F28" i="10"/>
  <c r="C28" i="10"/>
  <c r="F61" i="10"/>
  <c r="F71" i="10"/>
  <c r="F77" i="10"/>
  <c r="F85" i="10"/>
  <c r="D129" i="10"/>
  <c r="F244" i="10"/>
  <c r="D266" i="10"/>
  <c r="A266" i="10"/>
  <c r="B266" i="10" s="1"/>
  <c r="D273" i="10"/>
  <c r="F279" i="10"/>
  <c r="C279" i="10"/>
  <c r="C312" i="10"/>
  <c r="F312" i="10"/>
  <c r="F343" i="10"/>
  <c r="C343" i="10"/>
  <c r="F369" i="10"/>
  <c r="C369" i="10"/>
  <c r="A369" i="10" s="1"/>
  <c r="B369" i="10" s="1"/>
  <c r="D452" i="10"/>
  <c r="A452" i="10"/>
  <c r="B452" i="10" s="1"/>
  <c r="C217" i="10"/>
  <c r="A226" i="10"/>
  <c r="B226" i="10" s="1"/>
  <c r="D226" i="10"/>
  <c r="C68" i="10"/>
  <c r="C118" i="10"/>
  <c r="A118" i="10" s="1"/>
  <c r="B118" i="10" s="1"/>
  <c r="C131" i="10"/>
  <c r="C132" i="10"/>
  <c r="C133" i="10"/>
  <c r="F144" i="10"/>
  <c r="F154" i="10"/>
  <c r="C156" i="10"/>
  <c r="C164" i="10"/>
  <c r="F164" i="10"/>
  <c r="C169" i="10"/>
  <c r="C177" i="10"/>
  <c r="F177" i="10"/>
  <c r="C181" i="10"/>
  <c r="D202" i="10"/>
  <c r="A202" i="10"/>
  <c r="B202" i="10" s="1"/>
  <c r="D289" i="10"/>
  <c r="F338" i="10"/>
  <c r="C338" i="10"/>
  <c r="F349" i="10"/>
  <c r="C349" i="10"/>
  <c r="A409" i="10"/>
  <c r="B409" i="10" s="1"/>
  <c r="D409" i="10"/>
  <c r="D444" i="10"/>
  <c r="A444" i="10"/>
  <c r="B444" i="10" s="1"/>
  <c r="A70" i="10"/>
  <c r="B70" i="10" s="1"/>
  <c r="D70" i="10"/>
  <c r="A337" i="10"/>
  <c r="B337" i="10" s="1"/>
  <c r="D337" i="10"/>
  <c r="D368" i="10"/>
  <c r="A368" i="10"/>
  <c r="B368" i="10" s="1"/>
  <c r="F97" i="10"/>
  <c r="C97" i="10"/>
  <c r="D97" i="10" s="1"/>
  <c r="D137" i="10"/>
  <c r="C176" i="10"/>
  <c r="F176" i="10"/>
  <c r="C180" i="10"/>
  <c r="F180" i="10"/>
  <c r="A185" i="10"/>
  <c r="B185" i="10" s="1"/>
  <c r="D238" i="10"/>
  <c r="F248" i="10"/>
  <c r="F348" i="10"/>
  <c r="C348" i="10"/>
  <c r="F396" i="10"/>
  <c r="C396" i="10"/>
  <c r="D396" i="10" s="1"/>
  <c r="A401" i="10"/>
  <c r="B401" i="10" s="1"/>
  <c r="D401" i="10"/>
  <c r="D402" i="10"/>
  <c r="A402" i="10"/>
  <c r="B402" i="10" s="1"/>
  <c r="A190" i="10"/>
  <c r="B190" i="10" s="1"/>
  <c r="D190" i="10"/>
  <c r="A201" i="10"/>
  <c r="B201" i="10" s="1"/>
  <c r="D201" i="10"/>
  <c r="C6" i="10"/>
  <c r="A6" i="10" s="1"/>
  <c r="B6" i="10" s="1"/>
  <c r="C14" i="10"/>
  <c r="A14" i="10" s="1"/>
  <c r="B14" i="10" s="1"/>
  <c r="C25" i="10"/>
  <c r="A25" i="10" s="1"/>
  <c r="B25" i="10" s="1"/>
  <c r="C30" i="10"/>
  <c r="A30" i="10" s="1"/>
  <c r="B30" i="10" s="1"/>
  <c r="C31" i="10"/>
  <c r="F32" i="10"/>
  <c r="F40" i="10"/>
  <c r="F48" i="10"/>
  <c r="C57" i="10"/>
  <c r="A57" i="10" s="1"/>
  <c r="B57" i="10" s="1"/>
  <c r="C73" i="10"/>
  <c r="A79" i="10"/>
  <c r="B79" i="10" s="1"/>
  <c r="F89" i="10"/>
  <c r="C89" i="10"/>
  <c r="D89" i="10" s="1"/>
  <c r="F115" i="10"/>
  <c r="F138" i="10"/>
  <c r="F170" i="10"/>
  <c r="C184" i="10"/>
  <c r="D184" i="10" s="1"/>
  <c r="C189" i="10"/>
  <c r="F189" i="10"/>
  <c r="C196" i="10"/>
  <c r="A196" i="10" s="1"/>
  <c r="B196" i="10" s="1"/>
  <c r="C198" i="10"/>
  <c r="C199" i="10"/>
  <c r="A199" i="10" s="1"/>
  <c r="B199" i="10" s="1"/>
  <c r="F199" i="10"/>
  <c r="F237" i="10"/>
  <c r="C239" i="10"/>
  <c r="A240" i="10"/>
  <c r="B240" i="10" s="1"/>
  <c r="A247" i="10"/>
  <c r="B247" i="10" s="1"/>
  <c r="D247" i="10"/>
  <c r="C263" i="10"/>
  <c r="F309" i="10"/>
  <c r="F341" i="10"/>
  <c r="C341" i="10"/>
  <c r="D341" i="10" s="1"/>
  <c r="A418" i="10"/>
  <c r="B418" i="10" s="1"/>
  <c r="D418" i="10"/>
  <c r="D442" i="10"/>
  <c r="A442" i="10"/>
  <c r="B442" i="10" s="1"/>
  <c r="F260" i="10"/>
  <c r="F261" i="10"/>
  <c r="F284" i="10"/>
  <c r="F285" i="10"/>
  <c r="F286" i="10"/>
  <c r="F292" i="10"/>
  <c r="F294" i="10"/>
  <c r="C346" i="10"/>
  <c r="A388" i="10"/>
  <c r="B388" i="10" s="1"/>
  <c r="F417" i="10"/>
  <c r="A419" i="10"/>
  <c r="B419" i="10" s="1"/>
  <c r="C434" i="10"/>
  <c r="C466" i="10"/>
  <c r="C468" i="10"/>
  <c r="C469" i="10"/>
  <c r="C481" i="10"/>
  <c r="A482" i="10"/>
  <c r="B482" i="10" s="1"/>
  <c r="C484" i="10"/>
  <c r="A484" i="10" s="1"/>
  <c r="B484" i="10" s="1"/>
  <c r="C485" i="10"/>
  <c r="F409" i="10"/>
  <c r="F418" i="10"/>
  <c r="F420" i="10"/>
  <c r="F480" i="10"/>
  <c r="D430" i="10"/>
  <c r="D449" i="10"/>
  <c r="D457" i="10"/>
  <c r="C365" i="10"/>
  <c r="C378" i="10"/>
  <c r="A378" i="10" s="1"/>
  <c r="B378" i="10" s="1"/>
  <c r="A379" i="10"/>
  <c r="B379" i="10" s="1"/>
  <c r="F427" i="10"/>
  <c r="F435" i="10"/>
  <c r="F448" i="10"/>
  <c r="F456" i="10"/>
  <c r="C306" i="10"/>
  <c r="D334" i="10"/>
  <c r="A361" i="10"/>
  <c r="B361" i="10" s="1"/>
  <c r="A451" i="10"/>
  <c r="B451" i="10" s="1"/>
  <c r="F472" i="10"/>
  <c r="F488" i="10"/>
  <c r="C161" i="10"/>
  <c r="C234" i="10"/>
  <c r="C287" i="10"/>
  <c r="A293" i="10"/>
  <c r="B293" i="10" s="1"/>
  <c r="C295" i="10"/>
  <c r="F304" i="10"/>
  <c r="A330" i="10"/>
  <c r="B330" i="10" s="1"/>
  <c r="C374" i="10"/>
  <c r="C390" i="10"/>
  <c r="C422" i="10"/>
  <c r="A422" i="10" s="1"/>
  <c r="B422" i="10" s="1"/>
  <c r="D10" i="10"/>
  <c r="A10" i="10"/>
  <c r="B10" i="10" s="1"/>
  <c r="A29" i="10"/>
  <c r="B29" i="10" s="1"/>
  <c r="D29" i="10"/>
  <c r="A32" i="10"/>
  <c r="B32" i="10" s="1"/>
  <c r="D32" i="10"/>
  <c r="D33" i="10"/>
  <c r="A33" i="10"/>
  <c r="B33" i="10" s="1"/>
  <c r="F51" i="10"/>
  <c r="C51" i="10"/>
  <c r="F56" i="10"/>
  <c r="D74" i="10"/>
  <c r="A74" i="10"/>
  <c r="B74" i="10" s="1"/>
  <c r="D90" i="10"/>
  <c r="A90" i="10"/>
  <c r="B90" i="10" s="1"/>
  <c r="A115" i="10"/>
  <c r="B115" i="10" s="1"/>
  <c r="D115" i="10"/>
  <c r="D145" i="10"/>
  <c r="A145" i="10"/>
  <c r="B145" i="10" s="1"/>
  <c r="D50" i="10"/>
  <c r="A50" i="10"/>
  <c r="B50" i="10" s="1"/>
  <c r="A69" i="10"/>
  <c r="B69" i="10" s="1"/>
  <c r="D69" i="10"/>
  <c r="A72" i="10"/>
  <c r="B72" i="10" s="1"/>
  <c r="D72" i="10"/>
  <c r="D73" i="10"/>
  <c r="A73" i="10"/>
  <c r="B73" i="10" s="1"/>
  <c r="D111" i="10"/>
  <c r="A111" i="10"/>
  <c r="B111" i="10" s="1"/>
  <c r="A149" i="10"/>
  <c r="B149" i="10" s="1"/>
  <c r="D149" i="10"/>
  <c r="D34" i="10"/>
  <c r="A34" i="10"/>
  <c r="B34" i="10" s="1"/>
  <c r="A53" i="10"/>
  <c r="B53" i="10" s="1"/>
  <c r="D53" i="10"/>
  <c r="F75" i="10"/>
  <c r="C75" i="10"/>
  <c r="F3" i="10"/>
  <c r="C3" i="10"/>
  <c r="D9" i="10"/>
  <c r="A9" i="10"/>
  <c r="B9" i="10" s="1"/>
  <c r="D2" i="10"/>
  <c r="A2" i="10"/>
  <c r="B2" i="10" s="1"/>
  <c r="F8" i="10"/>
  <c r="D26" i="10"/>
  <c r="A26" i="10"/>
  <c r="B26" i="10" s="1"/>
  <c r="A45" i="10"/>
  <c r="B45" i="10" s="1"/>
  <c r="D45" i="10"/>
  <c r="D46" i="10"/>
  <c r="A48" i="10"/>
  <c r="B48" i="10" s="1"/>
  <c r="D48" i="10"/>
  <c r="D49" i="10"/>
  <c r="A49" i="10"/>
  <c r="B49" i="10" s="1"/>
  <c r="F67" i="10"/>
  <c r="C67" i="10"/>
  <c r="F72" i="10"/>
  <c r="D86" i="10"/>
  <c r="A86" i="10"/>
  <c r="B86" i="10" s="1"/>
  <c r="F88" i="10"/>
  <c r="C88" i="10"/>
  <c r="D98" i="10"/>
  <c r="A98" i="10"/>
  <c r="B98" i="10" s="1"/>
  <c r="A110" i="10"/>
  <c r="B110" i="10" s="1"/>
  <c r="D110" i="10"/>
  <c r="A131" i="10"/>
  <c r="B131" i="10" s="1"/>
  <c r="D131" i="10"/>
  <c r="F150" i="10"/>
  <c r="C150" i="10"/>
  <c r="A8" i="10"/>
  <c r="B8" i="10" s="1"/>
  <c r="D8" i="10"/>
  <c r="A21" i="10"/>
  <c r="B21" i="10" s="1"/>
  <c r="D21" i="10"/>
  <c r="A24" i="10"/>
  <c r="B24" i="10" s="1"/>
  <c r="D24" i="10"/>
  <c r="D25" i="10"/>
  <c r="F43" i="10"/>
  <c r="C43" i="10"/>
  <c r="D66" i="10"/>
  <c r="A66" i="10"/>
  <c r="B66" i="10" s="1"/>
  <c r="A85" i="10"/>
  <c r="B85" i="10" s="1"/>
  <c r="D85" i="10"/>
  <c r="C123" i="10"/>
  <c r="F123" i="10"/>
  <c r="C152" i="10"/>
  <c r="F152" i="10"/>
  <c r="F11" i="10"/>
  <c r="C11" i="10"/>
  <c r="A56" i="10"/>
  <c r="B56" i="10" s="1"/>
  <c r="D56" i="10"/>
  <c r="D116" i="10"/>
  <c r="A116" i="10"/>
  <c r="B116" i="10" s="1"/>
  <c r="F19" i="10"/>
  <c r="C19" i="10"/>
  <c r="F24" i="10"/>
  <c r="D42" i="10"/>
  <c r="A42" i="10"/>
  <c r="B42" i="10" s="1"/>
  <c r="A61" i="10"/>
  <c r="B61" i="10" s="1"/>
  <c r="D61" i="10"/>
  <c r="D62" i="10"/>
  <c r="A64" i="10"/>
  <c r="B64" i="10" s="1"/>
  <c r="D64" i="10"/>
  <c r="D65" i="10"/>
  <c r="A65" i="10"/>
  <c r="B65" i="10" s="1"/>
  <c r="F83" i="10"/>
  <c r="C83" i="10"/>
  <c r="D94" i="10"/>
  <c r="A94" i="10"/>
  <c r="B94" i="10" s="1"/>
  <c r="F96" i="10"/>
  <c r="C96" i="10"/>
  <c r="D106" i="10"/>
  <c r="A106" i="10"/>
  <c r="B106" i="10" s="1"/>
  <c r="A157" i="10"/>
  <c r="B157" i="10" s="1"/>
  <c r="D157" i="10"/>
  <c r="A101" i="10"/>
  <c r="B101" i="10" s="1"/>
  <c r="D101" i="10"/>
  <c r="A117" i="10"/>
  <c r="B117" i="10" s="1"/>
  <c r="D117" i="10"/>
  <c r="A5" i="10"/>
  <c r="B5" i="10" s="1"/>
  <c r="D5" i="10"/>
  <c r="D18" i="10"/>
  <c r="A18" i="10"/>
  <c r="B18" i="10" s="1"/>
  <c r="A37" i="10"/>
  <c r="B37" i="10" s="1"/>
  <c r="D37" i="10"/>
  <c r="A40" i="10"/>
  <c r="B40" i="10" s="1"/>
  <c r="D40" i="10"/>
  <c r="D41" i="10"/>
  <c r="A41" i="10"/>
  <c r="B41" i="10" s="1"/>
  <c r="F59" i="10"/>
  <c r="C59" i="10"/>
  <c r="D82" i="10"/>
  <c r="A82" i="10"/>
  <c r="B82" i="10" s="1"/>
  <c r="A93" i="10"/>
  <c r="B93" i="10" s="1"/>
  <c r="D93" i="10"/>
  <c r="C151" i="10"/>
  <c r="F151" i="10"/>
  <c r="A163" i="10"/>
  <c r="B163" i="10" s="1"/>
  <c r="D163" i="10"/>
  <c r="D57" i="10"/>
  <c r="D6" i="10"/>
  <c r="F27" i="10"/>
  <c r="C27" i="10"/>
  <c r="A13" i="10"/>
  <c r="B13" i="10" s="1"/>
  <c r="D13" i="10"/>
  <c r="D14" i="10"/>
  <c r="A16" i="10"/>
  <c r="B16" i="10" s="1"/>
  <c r="D16" i="10"/>
  <c r="D17" i="10"/>
  <c r="A17" i="10"/>
  <c r="B17" i="10" s="1"/>
  <c r="F35" i="10"/>
  <c r="C35" i="10"/>
  <c r="D58" i="10"/>
  <c r="A58" i="10"/>
  <c r="B58" i="10" s="1"/>
  <c r="A77" i="10"/>
  <c r="B77" i="10" s="1"/>
  <c r="D77" i="10"/>
  <c r="D78" i="10"/>
  <c r="A80" i="10"/>
  <c r="B80" i="10" s="1"/>
  <c r="D80" i="10"/>
  <c r="D81" i="10"/>
  <c r="A81" i="10"/>
  <c r="B81" i="10" s="1"/>
  <c r="D102" i="10"/>
  <c r="A102" i="10"/>
  <c r="B102" i="10" s="1"/>
  <c r="F104" i="10"/>
  <c r="C104" i="10"/>
  <c r="D162" i="10"/>
  <c r="A162" i="10"/>
  <c r="B162" i="10" s="1"/>
  <c r="D187" i="10"/>
  <c r="A187" i="10"/>
  <c r="B187" i="10" s="1"/>
  <c r="C225" i="10"/>
  <c r="F225" i="10"/>
  <c r="C135" i="10"/>
  <c r="F135" i="10"/>
  <c r="D158" i="10"/>
  <c r="A158" i="10"/>
  <c r="B158" i="10" s="1"/>
  <c r="C159" i="10"/>
  <c r="F159" i="10"/>
  <c r="F160" i="10"/>
  <c r="C160" i="10"/>
  <c r="A173" i="10"/>
  <c r="B173" i="10" s="1"/>
  <c r="D173" i="10"/>
  <c r="D174" i="10"/>
  <c r="A174" i="10"/>
  <c r="B174" i="10" s="1"/>
  <c r="F2" i="10"/>
  <c r="F10" i="10"/>
  <c r="F18" i="10"/>
  <c r="F26" i="10"/>
  <c r="F34" i="10"/>
  <c r="F42" i="10"/>
  <c r="F50" i="10"/>
  <c r="F58" i="10"/>
  <c r="F66" i="10"/>
  <c r="F74" i="10"/>
  <c r="F82" i="10"/>
  <c r="A89" i="10"/>
  <c r="B89" i="10" s="1"/>
  <c r="F90" i="10"/>
  <c r="C91" i="10"/>
  <c r="F98" i="10"/>
  <c r="C99" i="10"/>
  <c r="A105" i="10"/>
  <c r="B105" i="10" s="1"/>
  <c r="F106" i="10"/>
  <c r="C107" i="10"/>
  <c r="A124" i="10"/>
  <c r="B124" i="10" s="1"/>
  <c r="F136" i="10"/>
  <c r="C143" i="10"/>
  <c r="F143" i="10"/>
  <c r="F149" i="10"/>
  <c r="A153" i="10"/>
  <c r="B153" i="10" s="1"/>
  <c r="F157" i="10"/>
  <c r="A176" i="10"/>
  <c r="B176" i="10" s="1"/>
  <c r="D176" i="10"/>
  <c r="D177" i="10"/>
  <c r="A177" i="10"/>
  <c r="B177" i="10" s="1"/>
  <c r="D178" i="10"/>
  <c r="A178" i="10"/>
  <c r="B178" i="10" s="1"/>
  <c r="A179" i="10"/>
  <c r="B179" i="10" s="1"/>
  <c r="D179" i="10"/>
  <c r="D180" i="10"/>
  <c r="A180" i="10"/>
  <c r="B180" i="10" s="1"/>
  <c r="A294" i="10"/>
  <c r="B294" i="10" s="1"/>
  <c r="D294" i="10"/>
  <c r="C119" i="10"/>
  <c r="F119" i="10"/>
  <c r="D126" i="10"/>
  <c r="A133" i="10"/>
  <c r="B133" i="10" s="1"/>
  <c r="D133" i="10"/>
  <c r="D166" i="10"/>
  <c r="A166" i="10"/>
  <c r="B166" i="10" s="1"/>
  <c r="C167" i="10"/>
  <c r="F167" i="10"/>
  <c r="C195" i="10"/>
  <c r="F195" i="10"/>
  <c r="C222" i="10"/>
  <c r="F222" i="10"/>
  <c r="A265" i="10"/>
  <c r="B265" i="10" s="1"/>
  <c r="D265" i="10"/>
  <c r="D198" i="10"/>
  <c r="A198" i="10"/>
  <c r="B198" i="10" s="1"/>
  <c r="D200" i="10"/>
  <c r="A200" i="10"/>
  <c r="B200" i="10" s="1"/>
  <c r="A209" i="10"/>
  <c r="B209" i="10" s="1"/>
  <c r="D209" i="10"/>
  <c r="D254" i="10"/>
  <c r="A254" i="10"/>
  <c r="B254" i="10" s="1"/>
  <c r="F120" i="10"/>
  <c r="A122" i="10"/>
  <c r="B122" i="10" s="1"/>
  <c r="C127" i="10"/>
  <c r="F127" i="10"/>
  <c r="C134" i="10"/>
  <c r="A141" i="10"/>
  <c r="B141" i="10" s="1"/>
  <c r="D141" i="10"/>
  <c r="C191" i="10"/>
  <c r="F191" i="10"/>
  <c r="C203" i="10"/>
  <c r="F203" i="10"/>
  <c r="A310" i="10"/>
  <c r="B310" i="10" s="1"/>
  <c r="D310" i="10"/>
  <c r="A125" i="10"/>
  <c r="B125" i="10" s="1"/>
  <c r="D125" i="10"/>
  <c r="D186" i="10"/>
  <c r="A186" i="10"/>
  <c r="B186" i="10" s="1"/>
  <c r="F210" i="10"/>
  <c r="C210" i="10"/>
  <c r="F232" i="10"/>
  <c r="C232" i="10"/>
  <c r="F112" i="10"/>
  <c r="D118" i="10"/>
  <c r="A165" i="10"/>
  <c r="B165" i="10" s="1"/>
  <c r="D165" i="10"/>
  <c r="F168" i="10"/>
  <c r="C168" i="10"/>
  <c r="A204" i="10"/>
  <c r="B204" i="10" s="1"/>
  <c r="D204" i="10"/>
  <c r="F128" i="10"/>
  <c r="D136" i="10"/>
  <c r="C142" i="10"/>
  <c r="A172" i="10"/>
  <c r="B172" i="10" s="1"/>
  <c r="F194" i="10"/>
  <c r="C194" i="10"/>
  <c r="C216" i="10"/>
  <c r="F216" i="10"/>
  <c r="C182" i="10"/>
  <c r="A183" i="10"/>
  <c r="B183" i="10" s="1"/>
  <c r="C218" i="10"/>
  <c r="C236" i="10"/>
  <c r="D243" i="10"/>
  <c r="F247" i="10"/>
  <c r="D251" i="10"/>
  <c r="F259" i="10"/>
  <c r="A264" i="10"/>
  <c r="B264" i="10" s="1"/>
  <c r="C276" i="10"/>
  <c r="F276" i="10"/>
  <c r="D278" i="10"/>
  <c r="D324" i="10"/>
  <c r="F363" i="10"/>
  <c r="C219" i="10"/>
  <c r="F219" i="10"/>
  <c r="D229" i="10"/>
  <c r="A229" i="10"/>
  <c r="B229" i="10" s="1"/>
  <c r="F241" i="10"/>
  <c r="C241" i="10"/>
  <c r="F242" i="10"/>
  <c r="C242" i="10"/>
  <c r="C249" i="10"/>
  <c r="F249" i="10"/>
  <c r="F250" i="10"/>
  <c r="C250" i="10"/>
  <c r="A263" i="10"/>
  <c r="B263" i="10" s="1"/>
  <c r="D263" i="10"/>
  <c r="A300" i="10"/>
  <c r="B300" i="10" s="1"/>
  <c r="D300" i="10"/>
  <c r="D328" i="10"/>
  <c r="A328" i="10"/>
  <c r="B328" i="10" s="1"/>
  <c r="A357" i="10"/>
  <c r="B357" i="10" s="1"/>
  <c r="D357" i="10"/>
  <c r="D199" i="10"/>
  <c r="F208" i="10"/>
  <c r="D230" i="10"/>
  <c r="A231" i="10"/>
  <c r="B231" i="10" s="1"/>
  <c r="F243" i="10"/>
  <c r="F251" i="10"/>
  <c r="C252" i="10"/>
  <c r="A253" i="10"/>
  <c r="B253" i="10" s="1"/>
  <c r="D253" i="10"/>
  <c r="D261" i="10"/>
  <c r="F264" i="10"/>
  <c r="A267" i="10"/>
  <c r="B267" i="10" s="1"/>
  <c r="F278" i="10"/>
  <c r="D301" i="10"/>
  <c r="A301" i="10"/>
  <c r="B301" i="10" s="1"/>
  <c r="C302" i="10"/>
  <c r="F324" i="10"/>
  <c r="F326" i="10"/>
  <c r="C326" i="10"/>
  <c r="F327" i="10"/>
  <c r="C327" i="10"/>
  <c r="F328" i="10"/>
  <c r="D329" i="10"/>
  <c r="C331" i="10"/>
  <c r="F331" i="10"/>
  <c r="C332" i="10"/>
  <c r="F332" i="10"/>
  <c r="D387" i="10"/>
  <c r="A387" i="10"/>
  <c r="B387" i="10" s="1"/>
  <c r="C408" i="10"/>
  <c r="F408" i="10"/>
  <c r="D212" i="10"/>
  <c r="A212" i="10"/>
  <c r="B212" i="10" s="1"/>
  <c r="A245" i="10"/>
  <c r="B245" i="10" s="1"/>
  <c r="C255" i="10"/>
  <c r="F262" i="10"/>
  <c r="C262" i="10"/>
  <c r="A283" i="10"/>
  <c r="B283" i="10" s="1"/>
  <c r="C299" i="10"/>
  <c r="F299" i="10"/>
  <c r="D309" i="10"/>
  <c r="A309" i="10"/>
  <c r="B309" i="10" s="1"/>
  <c r="A315" i="10"/>
  <c r="B315" i="10" s="1"/>
  <c r="F356" i="10"/>
  <c r="C356" i="10"/>
  <c r="A233" i="10"/>
  <c r="B233" i="10" s="1"/>
  <c r="D233" i="10"/>
  <c r="A246" i="10"/>
  <c r="B246" i="10" s="1"/>
  <c r="D246" i="10"/>
  <c r="D256" i="10"/>
  <c r="A256" i="10"/>
  <c r="B256" i="10" s="1"/>
  <c r="D272" i="10"/>
  <c r="A272" i="10"/>
  <c r="B272" i="10" s="1"/>
  <c r="A274" i="10"/>
  <c r="B274" i="10" s="1"/>
  <c r="D282" i="10"/>
  <c r="A282" i="10"/>
  <c r="B282" i="10" s="1"/>
  <c r="A297" i="10"/>
  <c r="B297" i="10" s="1"/>
  <c r="D297" i="10"/>
  <c r="D298" i="10"/>
  <c r="A298" i="10"/>
  <c r="B298" i="10" s="1"/>
  <c r="D308" i="10"/>
  <c r="A308" i="10"/>
  <c r="B308" i="10" s="1"/>
  <c r="A311" i="10"/>
  <c r="B311" i="10" s="1"/>
  <c r="D314" i="10"/>
  <c r="A314" i="10"/>
  <c r="B314" i="10" s="1"/>
  <c r="C320" i="10"/>
  <c r="F320" i="10"/>
  <c r="C352" i="10"/>
  <c r="F352" i="10"/>
  <c r="F375" i="10"/>
  <c r="C375" i="10"/>
  <c r="D378" i="10"/>
  <c r="C270" i="10"/>
  <c r="F272" i="10"/>
  <c r="F283" i="10"/>
  <c r="D284" i="10"/>
  <c r="A285" i="10"/>
  <c r="B285" i="10" s="1"/>
  <c r="A288" i="10"/>
  <c r="B288" i="10" s="1"/>
  <c r="C296" i="10"/>
  <c r="F296" i="10"/>
  <c r="A313" i="10"/>
  <c r="B313" i="10" s="1"/>
  <c r="D313" i="10"/>
  <c r="F315" i="10"/>
  <c r="D316" i="10"/>
  <c r="A317" i="10"/>
  <c r="B317" i="10" s="1"/>
  <c r="A374" i="10"/>
  <c r="B374" i="10" s="1"/>
  <c r="D374" i="10"/>
  <c r="D428" i="10"/>
  <c r="A428" i="10"/>
  <c r="B428" i="10" s="1"/>
  <c r="F271" i="10"/>
  <c r="C271" i="10"/>
  <c r="A286" i="10"/>
  <c r="B286" i="10" s="1"/>
  <c r="D286" i="10"/>
  <c r="D287" i="10"/>
  <c r="A287" i="10"/>
  <c r="B287" i="10" s="1"/>
  <c r="A318" i="10"/>
  <c r="B318" i="10" s="1"/>
  <c r="D318" i="10"/>
  <c r="F319" i="10"/>
  <c r="C319" i="10"/>
  <c r="F351" i="10"/>
  <c r="C351" i="10"/>
  <c r="A427" i="10"/>
  <c r="B427" i="10" s="1"/>
  <c r="D427" i="10"/>
  <c r="C207" i="10"/>
  <c r="A208" i="10"/>
  <c r="B208" i="10" s="1"/>
  <c r="C215" i="10"/>
  <c r="F215" i="10"/>
  <c r="F224" i="10"/>
  <c r="C224" i="10"/>
  <c r="A228" i="10"/>
  <c r="B228" i="10" s="1"/>
  <c r="D260" i="10"/>
  <c r="F288" i="10"/>
  <c r="D340" i="10"/>
  <c r="A340" i="10"/>
  <c r="B340" i="10" s="1"/>
  <c r="F342" i="10"/>
  <c r="C342" i="10"/>
  <c r="A350" i="10"/>
  <c r="B350" i="10" s="1"/>
  <c r="D350" i="10"/>
  <c r="A363" i="10"/>
  <c r="B363" i="10" s="1"/>
  <c r="D363" i="10"/>
  <c r="D364" i="10"/>
  <c r="A364" i="10"/>
  <c r="B364" i="10" s="1"/>
  <c r="A353" i="10"/>
  <c r="B353" i="10" s="1"/>
  <c r="D353" i="10"/>
  <c r="D354" i="10"/>
  <c r="A354" i="10"/>
  <c r="B354" i="10" s="1"/>
  <c r="C424" i="10"/>
  <c r="F424" i="10"/>
  <c r="D426" i="10"/>
  <c r="A426" i="10"/>
  <c r="B426" i="10" s="1"/>
  <c r="F303" i="10"/>
  <c r="C303" i="10"/>
  <c r="C373" i="10"/>
  <c r="A404" i="10"/>
  <c r="B404" i="10" s="1"/>
  <c r="A406" i="10"/>
  <c r="B406" i="10" s="1"/>
  <c r="D406" i="10"/>
  <c r="F407" i="10"/>
  <c r="C407" i="10"/>
  <c r="A420" i="10"/>
  <c r="B420" i="10" s="1"/>
  <c r="C421" i="10"/>
  <c r="C275" i="10"/>
  <c r="F275" i="10"/>
  <c r="F291" i="10"/>
  <c r="F305" i="10"/>
  <c r="D372" i="10"/>
  <c r="A372" i="10"/>
  <c r="B372" i="10" s="1"/>
  <c r="F372" i="10"/>
  <c r="A460" i="10"/>
  <c r="B460" i="10" s="1"/>
  <c r="D460" i="10"/>
  <c r="D461" i="10"/>
  <c r="A461" i="10"/>
  <c r="B461" i="10" s="1"/>
  <c r="C211" i="10"/>
  <c r="F211" i="10"/>
  <c r="C307" i="10"/>
  <c r="F307" i="10"/>
  <c r="D321" i="10"/>
  <c r="A322" i="10"/>
  <c r="B322" i="10" s="1"/>
  <c r="A323" i="10"/>
  <c r="B323" i="10" s="1"/>
  <c r="F337" i="10"/>
  <c r="F347" i="10"/>
  <c r="D349" i="10"/>
  <c r="A349" i="10"/>
  <c r="B349" i="10" s="1"/>
  <c r="A341" i="10"/>
  <c r="B341" i="10" s="1"/>
  <c r="D389" i="10"/>
  <c r="A389" i="10"/>
  <c r="B389" i="10" s="1"/>
  <c r="A390" i="10"/>
  <c r="B390" i="10" s="1"/>
  <c r="D390" i="10"/>
  <c r="D362" i="10"/>
  <c r="C376" i="10"/>
  <c r="F376" i="10"/>
  <c r="D385" i="10"/>
  <c r="F398" i="10"/>
  <c r="C398" i="10"/>
  <c r="C400" i="10"/>
  <c r="F400" i="10"/>
  <c r="F491" i="10"/>
  <c r="C491" i="10"/>
  <c r="C432" i="10"/>
  <c r="F432" i="10"/>
  <c r="A441" i="10"/>
  <c r="B441" i="10" s="1"/>
  <c r="D441" i="10"/>
  <c r="F447" i="10"/>
  <c r="C447" i="10"/>
  <c r="C459" i="10"/>
  <c r="F459" i="10"/>
  <c r="A486" i="10"/>
  <c r="B486" i="10" s="1"/>
  <c r="D486" i="10"/>
  <c r="F366" i="10"/>
  <c r="C366" i="10"/>
  <c r="D380" i="10"/>
  <c r="A380" i="10"/>
  <c r="B380" i="10" s="1"/>
  <c r="F391" i="10"/>
  <c r="C391" i="10"/>
  <c r="C392" i="10"/>
  <c r="F392" i="10"/>
  <c r="F405" i="10"/>
  <c r="C405" i="10"/>
  <c r="A411" i="10"/>
  <c r="B411" i="10" s="1"/>
  <c r="C414" i="10"/>
  <c r="A304" i="10"/>
  <c r="B304" i="10" s="1"/>
  <c r="C335" i="10"/>
  <c r="A336" i="10"/>
  <c r="B336" i="10" s="1"/>
  <c r="F339" i="10"/>
  <c r="F358" i="10"/>
  <c r="C358" i="10"/>
  <c r="C360" i="10"/>
  <c r="F368" i="10"/>
  <c r="D369" i="10"/>
  <c r="F379" i="10"/>
  <c r="D381" i="10"/>
  <c r="A381" i="10"/>
  <c r="B381" i="10" s="1"/>
  <c r="D382" i="10"/>
  <c r="F388" i="10"/>
  <c r="D394" i="10"/>
  <c r="A395" i="10"/>
  <c r="B395" i="10" s="1"/>
  <c r="D412" i="10"/>
  <c r="A412" i="10"/>
  <c r="B412" i="10" s="1"/>
  <c r="C440" i="10"/>
  <c r="F440" i="10"/>
  <c r="F446" i="10"/>
  <c r="C446" i="10"/>
  <c r="F483" i="10"/>
  <c r="C483" i="10"/>
  <c r="F381" i="10"/>
  <c r="A396" i="10"/>
  <c r="B396" i="10" s="1"/>
  <c r="C413" i="10"/>
  <c r="F413" i="10"/>
  <c r="A473" i="10"/>
  <c r="B473" i="10" s="1"/>
  <c r="D473" i="10"/>
  <c r="D464" i="10"/>
  <c r="A464" i="10"/>
  <c r="B464" i="10" s="1"/>
  <c r="F423" i="10"/>
  <c r="C423" i="10"/>
  <c r="F439" i="10"/>
  <c r="C439" i="10"/>
  <c r="C462" i="10"/>
  <c r="F462" i="10"/>
  <c r="F463" i="10"/>
  <c r="C463" i="10"/>
  <c r="D365" i="10"/>
  <c r="A365" i="10"/>
  <c r="B365" i="10" s="1"/>
  <c r="F383" i="10"/>
  <c r="C383" i="10"/>
  <c r="D397" i="10"/>
  <c r="A397" i="10"/>
  <c r="B397" i="10" s="1"/>
  <c r="F415" i="10"/>
  <c r="C415" i="10"/>
  <c r="D429" i="10"/>
  <c r="A429" i="10"/>
  <c r="B429" i="10" s="1"/>
  <c r="A443" i="10"/>
  <c r="B443" i="10" s="1"/>
  <c r="A468" i="10"/>
  <c r="B468" i="10" s="1"/>
  <c r="D468" i="10"/>
  <c r="D469" i="10"/>
  <c r="A469" i="10"/>
  <c r="B469" i="10" s="1"/>
  <c r="D472" i="10"/>
  <c r="A472" i="10"/>
  <c r="B472" i="10" s="1"/>
  <c r="F467" i="10"/>
  <c r="C470" i="10"/>
  <c r="F470" i="10"/>
  <c r="F471" i="10"/>
  <c r="C471" i="10"/>
  <c r="D453" i="10"/>
  <c r="A453" i="10"/>
  <c r="B453" i="10" s="1"/>
  <c r="D456" i="10"/>
  <c r="A456" i="10"/>
  <c r="B456" i="10" s="1"/>
  <c r="D481" i="10"/>
  <c r="A481" i="10"/>
  <c r="B481" i="10" s="1"/>
  <c r="D489" i="10"/>
  <c r="A489" i="10"/>
  <c r="B489" i="10" s="1"/>
  <c r="F443" i="10"/>
  <c r="D445" i="10"/>
  <c r="A445" i="10"/>
  <c r="B445" i="10" s="1"/>
  <c r="C454" i="10"/>
  <c r="F454" i="10"/>
  <c r="F455" i="10"/>
  <c r="C455" i="10"/>
  <c r="A476" i="10"/>
  <c r="B476" i="10" s="1"/>
  <c r="D476" i="10"/>
  <c r="D477" i="10"/>
  <c r="A477" i="10"/>
  <c r="B477" i="10" s="1"/>
  <c r="D480" i="10"/>
  <c r="A480" i="10"/>
  <c r="B480" i="10" s="1"/>
  <c r="D488" i="10"/>
  <c r="A488" i="10"/>
  <c r="B488" i="10" s="1"/>
  <c r="F367" i="10"/>
  <c r="C367" i="10"/>
  <c r="F399" i="10"/>
  <c r="C399" i="10"/>
  <c r="F431" i="10"/>
  <c r="C431" i="10"/>
  <c r="D437" i="10"/>
  <c r="A437" i="10"/>
  <c r="B437" i="10" s="1"/>
  <c r="C438" i="10"/>
  <c r="D448" i="10"/>
  <c r="A448" i="10"/>
  <c r="B448" i="10" s="1"/>
  <c r="C478" i="10"/>
  <c r="F478" i="10"/>
  <c r="F479" i="10"/>
  <c r="C479" i="10"/>
  <c r="D485" i="10"/>
  <c r="A485" i="10"/>
  <c r="B485" i="10" s="1"/>
  <c r="F487" i="10"/>
  <c r="C487" i="10"/>
  <c r="D484" i="10"/>
  <c r="F486" i="10"/>
  <c r="D492" i="10"/>
  <c r="D31" i="10" l="1"/>
  <c r="A31" i="10"/>
  <c r="B31" i="10" s="1"/>
  <c r="D28" i="10"/>
  <c r="A28" i="10"/>
  <c r="B28" i="10" s="1"/>
  <c r="D36" i="10"/>
  <c r="A36" i="10"/>
  <c r="B36" i="10" s="1"/>
  <c r="D269" i="10"/>
  <c r="A269" i="10"/>
  <c r="B269" i="10" s="1"/>
  <c r="A214" i="10"/>
  <c r="B214" i="10" s="1"/>
  <c r="D214" i="10"/>
  <c r="D164" i="10"/>
  <c r="A164" i="10"/>
  <c r="B164" i="10" s="1"/>
  <c r="D68" i="10"/>
  <c r="A68" i="10"/>
  <c r="B68" i="10" s="1"/>
  <c r="D343" i="10"/>
  <c r="A343" i="10"/>
  <c r="B343" i="10" s="1"/>
  <c r="D410" i="10"/>
  <c r="A410" i="10"/>
  <c r="B410" i="10" s="1"/>
  <c r="D258" i="10"/>
  <c r="A258" i="10"/>
  <c r="B258" i="10" s="1"/>
  <c r="D197" i="10"/>
  <c r="A197" i="10"/>
  <c r="B197" i="10" s="1"/>
  <c r="A54" i="10"/>
  <c r="B54" i="10" s="1"/>
  <c r="D54" i="10"/>
  <c r="D156" i="10"/>
  <c r="A156" i="10"/>
  <c r="B156" i="10" s="1"/>
  <c r="A213" i="10"/>
  <c r="B213" i="10" s="1"/>
  <c r="D213" i="10"/>
  <c r="A234" i="10"/>
  <c r="B234" i="10" s="1"/>
  <c r="D234" i="10"/>
  <c r="D422" i="10"/>
  <c r="A161" i="10"/>
  <c r="B161" i="10" s="1"/>
  <c r="D161" i="10"/>
  <c r="A346" i="10"/>
  <c r="B346" i="10" s="1"/>
  <c r="D346" i="10"/>
  <c r="D196" i="10"/>
  <c r="D30" i="10"/>
  <c r="A189" i="10"/>
  <c r="B189" i="10" s="1"/>
  <c r="D189" i="10"/>
  <c r="D44" i="10"/>
  <c r="A44" i="10"/>
  <c r="B44" i="10" s="1"/>
  <c r="A181" i="10"/>
  <c r="B181" i="10" s="1"/>
  <c r="D181" i="10"/>
  <c r="A217" i="10"/>
  <c r="B217" i="10" s="1"/>
  <c r="D217" i="10"/>
  <c r="D312" i="10"/>
  <c r="A312" i="10"/>
  <c r="B312" i="10" s="1"/>
  <c r="A22" i="10"/>
  <c r="B22" i="10" s="1"/>
  <c r="D22" i="10"/>
  <c r="A38" i="10"/>
  <c r="B38" i="10" s="1"/>
  <c r="D38" i="10"/>
  <c r="A295" i="10"/>
  <c r="B295" i="10" s="1"/>
  <c r="D295" i="10"/>
  <c r="A434" i="10"/>
  <c r="B434" i="10" s="1"/>
  <c r="D434" i="10"/>
  <c r="A279" i="10"/>
  <c r="B279" i="10" s="1"/>
  <c r="D279" i="10"/>
  <c r="D188" i="10"/>
  <c r="A188" i="10"/>
  <c r="B188" i="10" s="1"/>
  <c r="D100" i="10"/>
  <c r="A100" i="10"/>
  <c r="B100" i="10" s="1"/>
  <c r="D63" i="10"/>
  <c r="A63" i="10"/>
  <c r="B63" i="10" s="1"/>
  <c r="D223" i="10"/>
  <c r="A223" i="10"/>
  <c r="B223" i="10" s="1"/>
  <c r="D175" i="10"/>
  <c r="A175" i="10"/>
  <c r="B175" i="10" s="1"/>
  <c r="D132" i="10"/>
  <c r="A132" i="10"/>
  <c r="B132" i="10" s="1"/>
  <c r="D12" i="10"/>
  <c r="A12" i="10"/>
  <c r="B12" i="10" s="1"/>
  <c r="A221" i="10"/>
  <c r="B221" i="10" s="1"/>
  <c r="D221" i="10"/>
  <c r="D108" i="10"/>
  <c r="A108" i="10"/>
  <c r="B108" i="10" s="1"/>
  <c r="A466" i="10"/>
  <c r="B466" i="10" s="1"/>
  <c r="D466" i="10"/>
  <c r="A239" i="10"/>
  <c r="B239" i="10" s="1"/>
  <c r="D239" i="10"/>
  <c r="A97" i="10"/>
  <c r="B97" i="10" s="1"/>
  <c r="A184" i="10"/>
  <c r="B184" i="10" s="1"/>
  <c r="D306" i="10"/>
  <c r="A306" i="10"/>
  <c r="B306" i="10" s="1"/>
  <c r="D348" i="10"/>
  <c r="A348" i="10"/>
  <c r="B348" i="10" s="1"/>
  <c r="D338" i="10"/>
  <c r="A338" i="10"/>
  <c r="B338" i="10" s="1"/>
  <c r="A169" i="10"/>
  <c r="B169" i="10" s="1"/>
  <c r="D169" i="10"/>
  <c r="D87" i="10"/>
  <c r="A87" i="10"/>
  <c r="B87" i="10" s="1"/>
  <c r="D55" i="10"/>
  <c r="A55" i="10"/>
  <c r="B55" i="10" s="1"/>
  <c r="A19" i="10"/>
  <c r="B19" i="10" s="1"/>
  <c r="D19" i="10"/>
  <c r="A454" i="10"/>
  <c r="B454" i="10" s="1"/>
  <c r="D454" i="10"/>
  <c r="D491" i="10"/>
  <c r="A491" i="10"/>
  <c r="B491" i="10" s="1"/>
  <c r="A351" i="10"/>
  <c r="B351" i="10" s="1"/>
  <c r="D351" i="10"/>
  <c r="A249" i="10"/>
  <c r="B249" i="10" s="1"/>
  <c r="D249" i="10"/>
  <c r="D479" i="10"/>
  <c r="A479" i="10"/>
  <c r="B479" i="10" s="1"/>
  <c r="D383" i="10"/>
  <c r="A383" i="10"/>
  <c r="B383" i="10" s="1"/>
  <c r="D439" i="10"/>
  <c r="A439" i="10"/>
  <c r="B439" i="10" s="1"/>
  <c r="D224" i="10"/>
  <c r="A224" i="10"/>
  <c r="B224" i="10" s="1"/>
  <c r="D296" i="10"/>
  <c r="A296" i="10"/>
  <c r="B296" i="10" s="1"/>
  <c r="D375" i="10"/>
  <c r="A375" i="10"/>
  <c r="B375" i="10" s="1"/>
  <c r="D299" i="10"/>
  <c r="A299" i="10"/>
  <c r="B299" i="10" s="1"/>
  <c r="D252" i="10"/>
  <c r="A252" i="10"/>
  <c r="B252" i="10" s="1"/>
  <c r="D182" i="10"/>
  <c r="A182" i="10"/>
  <c r="B182" i="10" s="1"/>
  <c r="A107" i="10"/>
  <c r="B107" i="10" s="1"/>
  <c r="D107" i="10"/>
  <c r="A160" i="10"/>
  <c r="B160" i="10" s="1"/>
  <c r="D160" i="10"/>
  <c r="A27" i="10"/>
  <c r="B27" i="10" s="1"/>
  <c r="D27" i="10"/>
  <c r="D151" i="10"/>
  <c r="A151" i="10"/>
  <c r="B151" i="10" s="1"/>
  <c r="A67" i="10"/>
  <c r="B67" i="10" s="1"/>
  <c r="D67" i="10"/>
  <c r="A3" i="10"/>
  <c r="B3" i="10" s="1"/>
  <c r="D3" i="10"/>
  <c r="A134" i="10"/>
  <c r="B134" i="10" s="1"/>
  <c r="D134" i="10"/>
  <c r="A96" i="10"/>
  <c r="B96" i="10" s="1"/>
  <c r="D96" i="10"/>
  <c r="A423" i="10"/>
  <c r="B423" i="10" s="1"/>
  <c r="D423" i="10"/>
  <c r="A75" i="10"/>
  <c r="B75" i="10" s="1"/>
  <c r="D75" i="10"/>
  <c r="D215" i="10"/>
  <c r="A215" i="10"/>
  <c r="B215" i="10" s="1"/>
  <c r="D352" i="10"/>
  <c r="A352" i="10"/>
  <c r="B352" i="10" s="1"/>
  <c r="A242" i="10"/>
  <c r="B242" i="10" s="1"/>
  <c r="D242" i="10"/>
  <c r="D194" i="10"/>
  <c r="A194" i="10"/>
  <c r="B194" i="10" s="1"/>
  <c r="D168" i="10"/>
  <c r="A168" i="10"/>
  <c r="B168" i="10" s="1"/>
  <c r="D210" i="10"/>
  <c r="A210" i="10"/>
  <c r="B210" i="10" s="1"/>
  <c r="D127" i="10"/>
  <c r="A127" i="10"/>
  <c r="B127" i="10" s="1"/>
  <c r="D195" i="10"/>
  <c r="A195" i="10"/>
  <c r="B195" i="10" s="1"/>
  <c r="A99" i="10"/>
  <c r="B99" i="10" s="1"/>
  <c r="D99" i="10"/>
  <c r="A159" i="10"/>
  <c r="B159" i="10" s="1"/>
  <c r="D159" i="10"/>
  <c r="A150" i="10"/>
  <c r="B150" i="10" s="1"/>
  <c r="D150" i="10"/>
  <c r="A88" i="10"/>
  <c r="B88" i="10" s="1"/>
  <c r="D88" i="10"/>
  <c r="A470" i="10"/>
  <c r="B470" i="10" s="1"/>
  <c r="D470" i="10"/>
  <c r="D413" i="10"/>
  <c r="A413" i="10"/>
  <c r="B413" i="10" s="1"/>
  <c r="A307" i="10"/>
  <c r="B307" i="10" s="1"/>
  <c r="D307" i="10"/>
  <c r="A408" i="10"/>
  <c r="B408" i="10" s="1"/>
  <c r="D408" i="10"/>
  <c r="D232" i="10"/>
  <c r="A232" i="10"/>
  <c r="B232" i="10" s="1"/>
  <c r="A225" i="10"/>
  <c r="B225" i="10" s="1"/>
  <c r="D225" i="10"/>
  <c r="A104" i="10"/>
  <c r="B104" i="10" s="1"/>
  <c r="D104" i="10"/>
  <c r="A399" i="10"/>
  <c r="B399" i="10" s="1"/>
  <c r="D399" i="10"/>
  <c r="D487" i="10"/>
  <c r="A487" i="10"/>
  <c r="B487" i="10" s="1"/>
  <c r="D415" i="10"/>
  <c r="A415" i="10"/>
  <c r="B415" i="10" s="1"/>
  <c r="D463" i="10"/>
  <c r="A463" i="10"/>
  <c r="B463" i="10" s="1"/>
  <c r="D483" i="10"/>
  <c r="A483" i="10"/>
  <c r="B483" i="10" s="1"/>
  <c r="A414" i="10"/>
  <c r="B414" i="10" s="1"/>
  <c r="D414" i="10"/>
  <c r="D447" i="10"/>
  <c r="A447" i="10"/>
  <c r="B447" i="10" s="1"/>
  <c r="A319" i="10"/>
  <c r="B319" i="10" s="1"/>
  <c r="D319" i="10"/>
  <c r="D271" i="10"/>
  <c r="A271" i="10"/>
  <c r="B271" i="10" s="1"/>
  <c r="D255" i="10"/>
  <c r="A255" i="10"/>
  <c r="B255" i="10" s="1"/>
  <c r="A326" i="10"/>
  <c r="B326" i="10" s="1"/>
  <c r="D326" i="10"/>
  <c r="D203" i="10"/>
  <c r="A203" i="10"/>
  <c r="B203" i="10" s="1"/>
  <c r="D119" i="10"/>
  <c r="A119" i="10"/>
  <c r="B119" i="10" s="1"/>
  <c r="A123" i="10"/>
  <c r="B123" i="10" s="1"/>
  <c r="D123" i="10"/>
  <c r="D431" i="10"/>
  <c r="A431" i="10"/>
  <c r="B431" i="10" s="1"/>
  <c r="A392" i="10"/>
  <c r="B392" i="10" s="1"/>
  <c r="D392" i="10"/>
  <c r="D432" i="10"/>
  <c r="A432" i="10"/>
  <c r="B432" i="10" s="1"/>
  <c r="D407" i="10"/>
  <c r="A407" i="10"/>
  <c r="B407" i="10" s="1"/>
  <c r="D222" i="10"/>
  <c r="A222" i="10"/>
  <c r="B222" i="10" s="1"/>
  <c r="A43" i="10"/>
  <c r="B43" i="10" s="1"/>
  <c r="D43" i="10"/>
  <c r="D391" i="10"/>
  <c r="A391" i="10"/>
  <c r="B391" i="10" s="1"/>
  <c r="A327" i="10"/>
  <c r="B327" i="10" s="1"/>
  <c r="D327" i="10"/>
  <c r="A478" i="10"/>
  <c r="B478" i="10" s="1"/>
  <c r="D478" i="10"/>
  <c r="D211" i="10"/>
  <c r="A211" i="10"/>
  <c r="B211" i="10" s="1"/>
  <c r="A367" i="10"/>
  <c r="B367" i="10" s="1"/>
  <c r="D367" i="10"/>
  <c r="D360" i="10"/>
  <c r="A360" i="10"/>
  <c r="B360" i="10" s="1"/>
  <c r="D400" i="10"/>
  <c r="A400" i="10"/>
  <c r="B400" i="10" s="1"/>
  <c r="D207" i="10"/>
  <c r="A207" i="10"/>
  <c r="B207" i="10" s="1"/>
  <c r="D320" i="10"/>
  <c r="A320" i="10"/>
  <c r="B320" i="10" s="1"/>
  <c r="A332" i="10"/>
  <c r="B332" i="10" s="1"/>
  <c r="D332" i="10"/>
  <c r="A241" i="10"/>
  <c r="B241" i="10" s="1"/>
  <c r="D241" i="10"/>
  <c r="D236" i="10"/>
  <c r="A236" i="10"/>
  <c r="B236" i="10" s="1"/>
  <c r="A167" i="10"/>
  <c r="B167" i="10" s="1"/>
  <c r="D167" i="10"/>
  <c r="D143" i="10"/>
  <c r="A143" i="10"/>
  <c r="B143" i="10" s="1"/>
  <c r="A59" i="10"/>
  <c r="B59" i="10" s="1"/>
  <c r="D59" i="10"/>
  <c r="A83" i="10"/>
  <c r="B83" i="10" s="1"/>
  <c r="D83" i="10"/>
  <c r="A51" i="10"/>
  <c r="B51" i="10" s="1"/>
  <c r="D51" i="10"/>
  <c r="A376" i="10"/>
  <c r="B376" i="10" s="1"/>
  <c r="D376" i="10"/>
  <c r="A356" i="10"/>
  <c r="B356" i="10" s="1"/>
  <c r="D356" i="10"/>
  <c r="D471" i="10"/>
  <c r="A471" i="10"/>
  <c r="B471" i="10" s="1"/>
  <c r="A446" i="10"/>
  <c r="B446" i="10" s="1"/>
  <c r="D446" i="10"/>
  <c r="D358" i="10"/>
  <c r="A358" i="10"/>
  <c r="B358" i="10" s="1"/>
  <c r="D405" i="10"/>
  <c r="A405" i="10"/>
  <c r="B405" i="10" s="1"/>
  <c r="A366" i="10"/>
  <c r="B366" i="10" s="1"/>
  <c r="D366" i="10"/>
  <c r="A398" i="10"/>
  <c r="B398" i="10" s="1"/>
  <c r="D398" i="10"/>
  <c r="D275" i="10"/>
  <c r="A275" i="10"/>
  <c r="B275" i="10" s="1"/>
  <c r="D373" i="10"/>
  <c r="A373" i="10"/>
  <c r="B373" i="10" s="1"/>
  <c r="A424" i="10"/>
  <c r="B424" i="10" s="1"/>
  <c r="D424" i="10"/>
  <c r="A270" i="10"/>
  <c r="B270" i="10" s="1"/>
  <c r="D270" i="10"/>
  <c r="D218" i="10"/>
  <c r="A218" i="10"/>
  <c r="B218" i="10" s="1"/>
  <c r="A142" i="10"/>
  <c r="B142" i="10" s="1"/>
  <c r="D142" i="10"/>
  <c r="D191" i="10"/>
  <c r="A191" i="10"/>
  <c r="B191" i="10" s="1"/>
  <c r="A91" i="10"/>
  <c r="B91" i="10" s="1"/>
  <c r="D91" i="10"/>
  <c r="D440" i="10"/>
  <c r="A440" i="10"/>
  <c r="B440" i="10" s="1"/>
  <c r="A342" i="10"/>
  <c r="B342" i="10" s="1"/>
  <c r="D342" i="10"/>
  <c r="D335" i="10"/>
  <c r="A335" i="10"/>
  <c r="B335" i="10" s="1"/>
  <c r="D262" i="10"/>
  <c r="A262" i="10"/>
  <c r="B262" i="10" s="1"/>
  <c r="A219" i="10"/>
  <c r="B219" i="10" s="1"/>
  <c r="D219" i="10"/>
  <c r="D216" i="10"/>
  <c r="A216" i="10"/>
  <c r="B216" i="10" s="1"/>
  <c r="A152" i="10"/>
  <c r="B152" i="10" s="1"/>
  <c r="D152" i="10"/>
  <c r="D459" i="10"/>
  <c r="A459" i="10"/>
  <c r="B459" i="10" s="1"/>
  <c r="A438" i="10"/>
  <c r="B438" i="10" s="1"/>
  <c r="D438" i="10"/>
  <c r="D455" i="10"/>
  <c r="A455" i="10"/>
  <c r="B455" i="10" s="1"/>
  <c r="A462" i="10"/>
  <c r="B462" i="10" s="1"/>
  <c r="D462" i="10"/>
  <c r="D421" i="10"/>
  <c r="A421" i="10"/>
  <c r="B421" i="10" s="1"/>
  <c r="D303" i="10"/>
  <c r="A303" i="10"/>
  <c r="B303" i="10" s="1"/>
  <c r="D331" i="10"/>
  <c r="A331" i="10"/>
  <c r="B331" i="10" s="1"/>
  <c r="A302" i="10"/>
  <c r="B302" i="10" s="1"/>
  <c r="D302" i="10"/>
  <c r="A250" i="10"/>
  <c r="B250" i="10" s="1"/>
  <c r="D250" i="10"/>
  <c r="D276" i="10"/>
  <c r="A276" i="10"/>
  <c r="B276" i="10" s="1"/>
  <c r="D135" i="10"/>
  <c r="A135" i="10"/>
  <c r="B135" i="10" s="1"/>
  <c r="A35" i="10"/>
  <c r="B35" i="10" s="1"/>
  <c r="D35" i="10"/>
  <c r="A11" i="10"/>
  <c r="B11" i="10" s="1"/>
  <c r="D11" i="10"/>
  <c r="J403" i="10"/>
  <c r="I403" i="10"/>
  <c r="G403" i="10"/>
  <c r="F403" i="10"/>
  <c r="K403" i="10"/>
  <c r="E403" i="10"/>
  <c r="C403" i="10"/>
  <c r="A403" i="10" s="1"/>
  <c r="B403" i="10" s="1"/>
  <c r="H403" i="10"/>
  <c r="D403" i="10" l="1"/>
</calcChain>
</file>

<file path=xl/sharedStrings.xml><?xml version="1.0" encoding="utf-8"?>
<sst xmlns="http://schemas.openxmlformats.org/spreadsheetml/2006/main" count="4170" uniqueCount="1484">
  <si>
    <t>https://www.photo-pick.com/online/5L4HGxBe.link</t>
  </si>
  <si>
    <t>https://photos.app.goo.gl/kPWz8Cu53vV18if58</t>
  </si>
  <si>
    <t>サイド</t>
  </si>
  <si>
    <t>水屋</t>
  </si>
  <si>
    <t>テーブル</t>
  </si>
  <si>
    <t>押入れ</t>
  </si>
  <si>
    <t>北</t>
  </si>
  <si>
    <t>上</t>
  </si>
  <si>
    <t>三段</t>
  </si>
  <si>
    <t>中</t>
  </si>
  <si>
    <t>入り口</t>
  </si>
  <si>
    <t>開閉あり</t>
  </si>
  <si>
    <t>襖</t>
  </si>
  <si>
    <t>閉め切り</t>
  </si>
  <si>
    <t>下</t>
  </si>
  <si>
    <t>5段</t>
  </si>
  <si>
    <t>ラック</t>
  </si>
  <si>
    <t>A</t>
  </si>
  <si>
    <t>机</t>
  </si>
  <si>
    <t>電工</t>
  </si>
  <si>
    <t>エアコン</t>
  </si>
  <si>
    <t>椅子</t>
  </si>
  <si>
    <t>作業台</t>
  </si>
  <si>
    <t>窓</t>
  </si>
  <si>
    <t>ピアノ</t>
  </si>
  <si>
    <t>作業用</t>
  </si>
  <si>
    <t>ベンチ</t>
  </si>
  <si>
    <t>プレス用</t>
  </si>
  <si>
    <t>ぶらさがり</t>
  </si>
  <si>
    <t>B</t>
  </si>
  <si>
    <t>南</t>
  </si>
  <si>
    <t>送り先：ぷれこ</t>
  </si>
  <si>
    <t>発信者：ChatGPT</t>
  </si>
  <si>
    <t>内容：</t>
  </si>
  <si>
    <t>【エリア特性シート Ver.1】</t>
  </si>
  <si>
    <t>■ 北押入れ 上段</t>
  </si>
  <si>
    <t>・取り出しやすさ：</t>
  </si>
  <si>
    <t>E</t>
  </si>
  <si>
    <t>・脚立必要：</t>
  </si>
  <si>
    <t>必要</t>
  </si>
  <si>
    <t>・重い物向き：</t>
  </si>
  <si>
    <t>だめだめ</t>
  </si>
  <si>
    <t>・軽い物向き：</t>
  </si>
  <si>
    <t>出来るだけ</t>
  </si>
  <si>
    <t>・長期保管向き：</t>
  </si>
  <si>
    <t>基本保管のみ</t>
  </si>
  <si>
    <t>・頻繁利用向き：</t>
  </si>
  <si>
    <t>不可</t>
  </si>
  <si>
    <t>・奥行き：幅：高さ(cm)</t>
  </si>
  <si>
    <t>・備考：</t>
  </si>
  <si>
    <t>空の収納ケース　2*2アーム　車の部品　実質使用率30%（空き空間は多い）</t>
  </si>
  <si>
    <t>台になるものはおいていません。一つの空間として利用しています。</t>
  </si>
  <si>
    <t>■ 北押入れ 中段</t>
  </si>
  <si>
    <t>C</t>
  </si>
  <si>
    <t>不要</t>
  </si>
  <si>
    <t>置き方次第</t>
  </si>
  <si>
    <t>ok</t>
  </si>
  <si>
    <t>保管利用はもったいない</t>
  </si>
  <si>
    <t>行きにくいけど利用可</t>
  </si>
  <si>
    <t>現状、かなり詰まってます。利用率80-90％　工夫するともっと入る。</t>
  </si>
  <si>
    <t>この空間の中で上段と下段に分かれるように机を置いています。</t>
  </si>
  <si>
    <t>■ 北押入れ 下段</t>
  </si>
  <si>
    <t>D</t>
  </si>
  <si>
    <t>中期、長期</t>
  </si>
  <si>
    <t>奥は特に使いづらい。ケースでおいて利用時はケースを取り出す感じがベスト</t>
  </si>
  <si>
    <t>現状40-50％利用中。ほぼケースでおいています。</t>
  </si>
  <si>
    <t>■ 南押入れ</t>
  </si>
  <si>
    <t>上、中、下での区分けが必要です。作り直してください。</t>
  </si>
  <si>
    <t>・奥行き：</t>
  </si>
  <si>
    <t>■ 電工作業台</t>
  </si>
  <si>
    <t>S</t>
  </si>
  <si>
    <t>良</t>
  </si>
  <si>
    <t>・奥行き：幅：高さ</t>
  </si>
  <si>
    <t>70（天板は上下が出来、テーブルと高さを合わせています。</t>
  </si>
  <si>
    <t>勉強机のサイドテーブルです。引出しが3段あり下一段が大きいものです。利用率は高めです。</t>
  </si>
  <si>
    <t>■ 作業用ラック</t>
  </si>
  <si>
    <t>メタルラックで上に工具等使うモノを現状置いています。</t>
  </si>
  <si>
    <t>下の空間は使えますが、あくまでも空間です。</t>
  </si>
  <si>
    <t>ただの台です。メタルラックの上部のみの利用で台として利用中</t>
  </si>
  <si>
    <t>■ 大型ラック（南）</t>
  </si>
  <si>
    <t>右半分はベンチがある為、行きにくい。一番右側はピアノで取り出しが辛い</t>
  </si>
  <si>
    <t>上部は必要</t>
  </si>
  <si>
    <t>一番下にテレビ台　真ん中に手組のラック、その上に食器棚などで構成</t>
  </si>
  <si>
    <t>左側はテレビ台の左に金庫、その上に三段ボックス</t>
  </si>
  <si>
    <t>左側は取り出しやすい</t>
  </si>
  <si>
    <t>170程度</t>
  </si>
  <si>
    <t>■ 押入れ（南）</t>
  </si>
  <si>
    <t>■ 机</t>
  </si>
  <si>
    <t>SS</t>
  </si>
  <si>
    <t>取り出しやすさ：</t>
  </si>
  <si>
    <t>（S～E）</t>
  </si>
  <si>
    <t>利用頻度向き：</t>
  </si>
  <si>
    <t>（頻繁・普通・保管）</t>
  </si>
  <si>
    <t>重量適性：</t>
  </si>
  <si>
    <t>（軽・中・重）</t>
  </si>
  <si>
    <t>備考：</t>
  </si>
  <si>
    <t>取り出しやすさ：E</t>
  </si>
  <si>
    <t>利用頻度向き：保管</t>
  </si>
  <si>
    <t>重量適性：軽～中</t>
  </si>
  <si>
    <t>脚立が必要。</t>
  </si>
  <si>
    <t>奥側はほぼ長期保管専用。</t>
  </si>
  <si>
    <t>送り先：ChatGPT</t>
  </si>
  <si>
    <t>発信者：ぷれこ</t>
  </si>
  <si>
    <t>【エリア特性シート Ver.1.2 追加入力用ログ】</t>
  </si>
  <si>
    <t>※目的</t>
  </si>
  <si>
    <t>・大型ラックの詳細分解</t>
  </si>
  <si>
    <t>・収納力とアクセス性の精密化</t>
  </si>
  <si>
    <t>・再配置判断材料の強化</t>
  </si>
  <si>
    <t>■ 大型ラック（南） 左</t>
  </si>
  <si>
    <t>・このエリアの役割（1つ選ぶ or 複数OK）</t>
  </si>
  <si>
    <t>　- よく使う物置き</t>
  </si>
  <si>
    <t>短期、中期、空きがあれば長期倉庫扱い</t>
  </si>
  <si>
    <t>　- 一時保管</t>
  </si>
  <si>
    <t>〇</t>
  </si>
  <si>
    <t>　- 長期保管</t>
  </si>
  <si>
    <t>　- 機材ストック</t>
  </si>
  <si>
    <t>◎</t>
  </si>
  <si>
    <t>　- 仕事・作業関連</t>
  </si>
  <si>
    <t>　- その他（　　　）</t>
  </si>
  <si>
    <t>趣味</t>
  </si>
  <si>
    <t>・取り出しやすさ（S～E）：</t>
  </si>
  <si>
    <t>A-B</t>
  </si>
  <si>
    <t>・使用頻度（高・中・低）：</t>
  </si>
  <si>
    <t>高－中</t>
  </si>
  <si>
    <t>・重さ傾向（軽・中・重）：</t>
  </si>
  <si>
    <t>ノートバソコンがメイン、台数入れるとかなり重い</t>
  </si>
  <si>
    <t>・動かす頻度（よく動く・たまに・固定）：</t>
  </si>
  <si>
    <t>たまに、ただ動く時は集中するときが多い</t>
  </si>
  <si>
    <t>・ここにある代表物（3つくらいでOK）：</t>
  </si>
  <si>
    <t>　①タンスの中</t>
  </si>
  <si>
    <t>ノートパソコン</t>
  </si>
  <si>
    <t>　②</t>
  </si>
  <si>
    <t>HDD</t>
  </si>
  <si>
    <t>PCパーツ</t>
  </si>
  <si>
    <t>インク</t>
  </si>
  <si>
    <t>　③</t>
  </si>
  <si>
    <t>書類</t>
  </si>
  <si>
    <t>・ここに置いている理由（分かる範囲でOK）：</t>
  </si>
  <si>
    <t>ノートパソコンを置くために設置</t>
  </si>
  <si>
    <t>　例：とりあえず置いてる／作業動線上／他に場所がない／固定機器</t>
  </si>
  <si>
    <t>・改善候補（思いつけば）：</t>
  </si>
  <si>
    <t>　例：ここじゃなくてもいい物／移動したい物</t>
  </si>
  <si>
    <t>インクが多い、ただ自分で使う為のインクというよりは廃棄がもったいないから</t>
  </si>
  <si>
    <t>■ 大型ラック（南） 中央</t>
  </si>
  <si>
    <t>中まで</t>
  </si>
  <si>
    <t>たまに</t>
  </si>
  <si>
    <t>　①</t>
  </si>
  <si>
    <t>雑貨</t>
  </si>
  <si>
    <t>プリンタ用紙</t>
  </si>
  <si>
    <t>置きやすい、とりあえずおいている</t>
  </si>
  <si>
    <t>どれも理由はない</t>
  </si>
  <si>
    <t xml:space="preserve">■ 大型ラック（南）上部 </t>
  </si>
  <si>
    <t>△</t>
  </si>
  <si>
    <t>低</t>
  </si>
  <si>
    <t>軽</t>
  </si>
  <si>
    <t>固定</t>
  </si>
  <si>
    <t>工具</t>
  </si>
  <si>
    <t>とりあえず</t>
  </si>
  <si>
    <t>全て</t>
  </si>
  <si>
    <t>■ 追記推奨（任意）</t>
  </si>
  <si>
    <t>・各ゾーンの「よく触る頻度」</t>
  </si>
  <si>
    <t>・動線（どこから取り出すか）</t>
  </si>
  <si>
    <t>・詰まり具合（奥行き利用率）</t>
  </si>
  <si>
    <t>S-001</t>
  </si>
  <si>
    <t>玄関棚</t>
  </si>
  <si>
    <t>初期ルートノード</t>
  </si>
  <si>
    <t>S-002</t>
  </si>
  <si>
    <t>電工ラック</t>
  </si>
  <si>
    <t>S-003</t>
  </si>
  <si>
    <t>南ラック</t>
  </si>
  <si>
    <t>S-004</t>
  </si>
  <si>
    <t>サイドテーブル</t>
  </si>
  <si>
    <t>S-005</t>
  </si>
  <si>
    <t>北押入れ</t>
  </si>
  <si>
    <t>S-006</t>
  </si>
  <si>
    <t>南押入れ</t>
  </si>
  <si>
    <t>S-007</t>
  </si>
  <si>
    <t>S-008</t>
  </si>
  <si>
    <t>作業用ラック</t>
  </si>
  <si>
    <t>棚</t>
  </si>
  <si>
    <t>T-0101</t>
  </si>
  <si>
    <t>天板</t>
  </si>
  <si>
    <t>玄関棚の天板</t>
  </si>
  <si>
    <t>T-0102</t>
  </si>
  <si>
    <t>上段一段目</t>
  </si>
  <si>
    <t>玄関棚の上段一段目</t>
  </si>
  <si>
    <t>T-0103</t>
  </si>
  <si>
    <t>上段二段目</t>
  </si>
  <si>
    <t>玄関棚の上段二段目</t>
  </si>
  <si>
    <t>T-0104</t>
  </si>
  <si>
    <t>上段三段目</t>
  </si>
  <si>
    <t>玄関棚の上段三段目</t>
  </si>
  <si>
    <t>T-0105</t>
  </si>
  <si>
    <t>上段四段目</t>
  </si>
  <si>
    <t>玄関棚の上段四段目</t>
  </si>
  <si>
    <t>T-0106</t>
  </si>
  <si>
    <t>引出し</t>
  </si>
  <si>
    <t>玄関棚の引出し</t>
  </si>
  <si>
    <t>T-0107</t>
  </si>
  <si>
    <t>下段一段目</t>
  </si>
  <si>
    <t>玄関棚の下段一段目</t>
  </si>
  <si>
    <t>T-0108</t>
  </si>
  <si>
    <t>下段二段目</t>
  </si>
  <si>
    <t>玄関棚の下段二段目</t>
  </si>
  <si>
    <t>T-0109</t>
  </si>
  <si>
    <t>下段三段目</t>
  </si>
  <si>
    <t>玄関棚の下段三段目</t>
  </si>
  <si>
    <t>T</t>
  </si>
  <si>
    <t>T-0201</t>
  </si>
  <si>
    <t>T-0202</t>
  </si>
  <si>
    <t>天板（中）</t>
  </si>
  <si>
    <t>T-0203</t>
  </si>
  <si>
    <t>一段目</t>
  </si>
  <si>
    <t>T-0204</t>
  </si>
  <si>
    <t>二段目</t>
  </si>
  <si>
    <t>T-0205</t>
  </si>
  <si>
    <t>三段目</t>
  </si>
  <si>
    <t>T-0301</t>
  </si>
  <si>
    <t>左棚</t>
  </si>
  <si>
    <t>左側木製デスク上ラック（5段構成）</t>
  </si>
  <si>
    <t>T-0302</t>
  </si>
  <si>
    <t>中央棚</t>
  </si>
  <si>
    <t>中央木製ブラウンデスク（天板面）</t>
  </si>
  <si>
    <t>T-0303</t>
  </si>
  <si>
    <t>中央スチール棚</t>
  </si>
  <si>
    <t>中央スチールラック（4段・3コンパートメント構成）</t>
  </si>
  <si>
    <t>T-0304</t>
  </si>
  <si>
    <t>左底面</t>
  </si>
  <si>
    <t>左棚（T-0301）の足元スペース、撮影済み</t>
  </si>
  <si>
    <t>T-0305</t>
  </si>
  <si>
    <t>中央底面</t>
  </si>
  <si>
    <t>中央棚（T-0302）の足元スペース、撮影済み</t>
  </si>
  <si>
    <t>T-0306</t>
  </si>
  <si>
    <t>右ガラス扉キャビネット</t>
  </si>
  <si>
    <t>右側ガラス扉付ホワイトキャビネット（4段）、本来ノートPC収納用</t>
  </si>
  <si>
    <t>T-0307</t>
  </si>
  <si>
    <t>右底面</t>
  </si>
  <si>
    <t>右ガラス扉キャビネット（T-0306）の足元スペース、撮影済み</t>
  </si>
  <si>
    <t>T-0308</t>
  </si>
  <si>
    <t>右キャビネット上</t>
  </si>
  <si>
    <t>右ガラス扉キャビネット（T-0306）の上部スペース、撮影済み</t>
  </si>
  <si>
    <t>T-0309</t>
  </si>
  <si>
    <t>中央棚上部空域</t>
  </si>
  <si>
    <t>中央棚（T-0302）の上部スペース</t>
  </si>
  <si>
    <t>T-0401</t>
  </si>
  <si>
    <t>サイドテーブルの天板</t>
  </si>
  <si>
    <t>T-0402</t>
  </si>
  <si>
    <t>一段目引出し</t>
  </si>
  <si>
    <t>サイドテーブルの一段目引出し</t>
  </si>
  <si>
    <t>T-0403</t>
  </si>
  <si>
    <t>二段目引出し</t>
  </si>
  <si>
    <t>サイドテーブルの二段目引出し</t>
  </si>
  <si>
    <t>T-0404</t>
  </si>
  <si>
    <t>三段目引出し</t>
  </si>
  <si>
    <t>サイドテーブルの三段目引出し</t>
  </si>
  <si>
    <t>T-0405</t>
  </si>
  <si>
    <t>四段目引出し</t>
  </si>
  <si>
    <t>サイドテーブルの四段目引出し</t>
  </si>
  <si>
    <t>ネット</t>
  </si>
  <si>
    <t>T-0406</t>
  </si>
  <si>
    <t>右ネット</t>
  </si>
  <si>
    <t>サイドテーブルの右側ネット</t>
  </si>
  <si>
    <t>T-0701</t>
  </si>
  <si>
    <t>天板上ボード</t>
  </si>
  <si>
    <t>スピーカー</t>
  </si>
  <si>
    <t>T-0702</t>
  </si>
  <si>
    <t>天板（上）</t>
  </si>
  <si>
    <t>机の天板、モニターアーム多数</t>
  </si>
  <si>
    <t>T-0703</t>
  </si>
  <si>
    <t>下段</t>
  </si>
  <si>
    <t>机本体下、未整理物あり</t>
  </si>
  <si>
    <t>T-0801</t>
  </si>
  <si>
    <t>上段</t>
  </si>
  <si>
    <t>T-0802</t>
  </si>
  <si>
    <t>ケース</t>
  </si>
  <si>
    <t>C-010201</t>
  </si>
  <si>
    <t>小物トレー・カゴ</t>
  </si>
  <si>
    <t>ピンクトレー・白カゴ</t>
  </si>
  <si>
    <t>C-010301</t>
  </si>
  <si>
    <t>接着剤ケース</t>
  </si>
  <si>
    <t>接着剤まとめ</t>
  </si>
  <si>
    <t>C-010302</t>
  </si>
  <si>
    <t>緑カゴ・小物セット</t>
  </si>
  <si>
    <t>緑カゴ含む</t>
  </si>
  <si>
    <t>C-010401</t>
  </si>
  <si>
    <t>水色引き出し①左列</t>
  </si>
  <si>
    <t>左列2段</t>
  </si>
  <si>
    <t>C-010402</t>
  </si>
  <si>
    <t>水色引き出し②中央列</t>
  </si>
  <si>
    <t>中央列2段</t>
  </si>
  <si>
    <t>C-010403</t>
  </si>
  <si>
    <t>水色引き出し③右列</t>
  </si>
  <si>
    <t>右列2段</t>
  </si>
  <si>
    <t>四段目・左列上</t>
  </si>
  <si>
    <t>C-010501</t>
  </si>
  <si>
    <t>車・モニタ箱</t>
  </si>
  <si>
    <t>黒ダンボール箱</t>
  </si>
  <si>
    <t>四段目・左列下</t>
  </si>
  <si>
    <t>C-010502</t>
  </si>
  <si>
    <t>工具コンテナ</t>
  </si>
  <si>
    <t>黒プラスチック</t>
  </si>
  <si>
    <t>四段目・中央列</t>
  </si>
  <si>
    <t>C-010503</t>
  </si>
  <si>
    <t>黒ネジ・部品ボックス</t>
  </si>
  <si>
    <t>グレーインナーボックス（ネジDB）</t>
  </si>
  <si>
    <t>四段目・右列</t>
  </si>
  <si>
    <t>C-010504</t>
  </si>
  <si>
    <t>白ネジボックス</t>
  </si>
  <si>
    <t>C-010801</t>
  </si>
  <si>
    <t>REGAL赤箱</t>
  </si>
  <si>
    <t>箱</t>
  </si>
  <si>
    <t>C-010802</t>
  </si>
  <si>
    <t>グレーコンテナ（テープ）</t>
  </si>
  <si>
    <t>コンテナ</t>
  </si>
  <si>
    <t>C-010803</t>
  </si>
  <si>
    <t>グレーコンテナ（ラチェット）</t>
  </si>
  <si>
    <t>C-010701</t>
  </si>
  <si>
    <t>車ライトコート箱</t>
  </si>
  <si>
    <t>C-010702</t>
  </si>
  <si>
    <t>elegance段ボール</t>
  </si>
  <si>
    <t>段ボール箱</t>
  </si>
  <si>
    <t>C-010703</t>
  </si>
  <si>
    <t>半透明コンテナ</t>
  </si>
  <si>
    <t>C-010704</t>
  </si>
  <si>
    <t>白メッシュカゴ</t>
  </si>
  <si>
    <t>カゴ</t>
  </si>
  <si>
    <t>C-010705</t>
  </si>
  <si>
    <t>透明プラパック</t>
  </si>
  <si>
    <t>プラパック</t>
  </si>
  <si>
    <t>C-010901</t>
  </si>
  <si>
    <t>水色大型BOX</t>
  </si>
  <si>
    <t>大型ケース</t>
  </si>
  <si>
    <t>引き出し1段目</t>
  </si>
  <si>
    <t>C-040201</t>
  </si>
  <si>
    <t>工具ケース</t>
  </si>
  <si>
    <t>工具・刃物収納</t>
  </si>
  <si>
    <t>引き出し2段目</t>
  </si>
  <si>
    <t>C-040301</t>
  </si>
  <si>
    <t>C-080201</t>
  </si>
  <si>
    <t>緑のバケツ</t>
  </si>
  <si>
    <t>ゴミ箱として使用</t>
  </si>
  <si>
    <t>C-030401</t>
  </si>
  <si>
    <t>工具キャリーバッグ（赤黒）</t>
  </si>
  <si>
    <t>C-030402</t>
  </si>
  <si>
    <t>パーツケース（青蓋）</t>
  </si>
  <si>
    <t>C-030501</t>
  </si>
  <si>
    <t>シルバーアルミミニケース</t>
  </si>
  <si>
    <t>C-030502</t>
  </si>
  <si>
    <t>白プラスチックコンテナ（深型）1</t>
  </si>
  <si>
    <t>2個あるうちの1つ</t>
  </si>
  <si>
    <t>C-030503</t>
  </si>
  <si>
    <t>白プラスチックコンテナ（深型）2</t>
  </si>
  <si>
    <t>2個あるうちの2つ目</t>
  </si>
  <si>
    <t>C-030504</t>
  </si>
  <si>
    <t>白いダストボックス（STORAGE BOX）</t>
  </si>
  <si>
    <t>C-030701</t>
  </si>
  <si>
    <t>Canon プリンター PIXUS TS8630 箱</t>
  </si>
  <si>
    <t>C-030702</t>
  </si>
  <si>
    <t>黒ワイヤーバスケット（キャスター付）</t>
  </si>
  <si>
    <t>C-030801</t>
  </si>
  <si>
    <t>ELD-HTV020UBK 外付けHDD箱</t>
  </si>
  <si>
    <t>C-030802</t>
  </si>
  <si>
    <t>ベージュトートバッグ</t>
  </si>
  <si>
    <t>C-030901</t>
  </si>
  <si>
    <t>EPSON インク EP-716A 箱</t>
  </si>
  <si>
    <t>C-030902</t>
  </si>
  <si>
    <t>BeBox 黒プラスチックコンテナ</t>
  </si>
  <si>
    <t>C-030101</t>
  </si>
  <si>
    <t>ガラス瓶・試験管立て</t>
  </si>
  <si>
    <t>1段目</t>
  </si>
  <si>
    <t>C-030102</t>
  </si>
  <si>
    <t>SNOOPYボックス・書類箱</t>
  </si>
  <si>
    <t>2段目</t>
  </si>
  <si>
    <t>C-030103</t>
  </si>
  <si>
    <t>スリム引き出しケース・アーム固定</t>
  </si>
  <si>
    <t>3段目</t>
  </si>
  <si>
    <t>C-030104</t>
  </si>
  <si>
    <t>クリアファイル・小物ケース</t>
  </si>
  <si>
    <t>4段目</t>
  </si>
  <si>
    <t>C-030105</t>
  </si>
  <si>
    <t>マグネットツールパネル</t>
  </si>
  <si>
    <t>5段目</t>
  </si>
  <si>
    <t>C-030201</t>
  </si>
  <si>
    <t>クリアファイルホルダー</t>
  </si>
  <si>
    <t>天板左側</t>
  </si>
  <si>
    <t>C-030202</t>
  </si>
  <si>
    <t>不織布収納ケース</t>
  </si>
  <si>
    <t>天板中央</t>
  </si>
  <si>
    <t>C-030203</t>
  </si>
  <si>
    <t>テープ類・ピンク付箋ケース</t>
  </si>
  <si>
    <t>天板右側</t>
  </si>
  <si>
    <t>C-030301</t>
  </si>
  <si>
    <t>白プラスチックバスケット浅型大</t>
  </si>
  <si>
    <t>1段目左</t>
  </si>
  <si>
    <t>C-030302</t>
  </si>
  <si>
    <t>1段目中央</t>
  </si>
  <si>
    <t>C-030303</t>
  </si>
  <si>
    <t>1段目右</t>
  </si>
  <si>
    <t>C-030304</t>
  </si>
  <si>
    <t>SNOOPYミニトート・工具ケース</t>
  </si>
  <si>
    <t>2段目左</t>
  </si>
  <si>
    <t>C-030305</t>
  </si>
  <si>
    <t>仕切り付クリアケース3列白</t>
  </si>
  <si>
    <t>2段目中央</t>
  </si>
  <si>
    <t>C-030306</t>
  </si>
  <si>
    <t>白プラスチックバスケット深型小</t>
  </si>
  <si>
    <t>2段目右</t>
  </si>
  <si>
    <t>C-030307</t>
  </si>
  <si>
    <t>小型引き出しケース黄・3段</t>
  </si>
  <si>
    <t>3段目左</t>
  </si>
  <si>
    <t>C-030308</t>
  </si>
  <si>
    <t>小型引き出しケース白・3段</t>
  </si>
  <si>
    <t>3段目中央</t>
  </si>
  <si>
    <t>C-030309</t>
  </si>
  <si>
    <t>3段目右</t>
  </si>
  <si>
    <t>C-030601</t>
  </si>
  <si>
    <t>白プラスチックバスケット浅型斜め</t>
  </si>
  <si>
    <t>C-030602</t>
  </si>
  <si>
    <t>ピンクプラスチックバスケット</t>
  </si>
  <si>
    <t>C-030603</t>
  </si>
  <si>
    <t>白プラスチックバスケット取っ手付</t>
  </si>
  <si>
    <t>C-030604</t>
  </si>
  <si>
    <t>茶色段ボール箱小</t>
  </si>
  <si>
    <t>C-030605</t>
  </si>
  <si>
    <t>クリアコンテナボックス</t>
  </si>
  <si>
    <t>3段目全体</t>
  </si>
  <si>
    <t>C-030606</t>
  </si>
  <si>
    <t>緑プラスチックバスケット深型</t>
  </si>
  <si>
    <t>4段目全体</t>
  </si>
  <si>
    <t>parent_id</t>
  </si>
  <si>
    <t>parent_type</t>
  </si>
  <si>
    <t>parent_name</t>
  </si>
  <si>
    <t>type</t>
  </si>
  <si>
    <t>Items-ID</t>
  </si>
  <si>
    <t>Items名称</t>
  </si>
  <si>
    <t>usage</t>
  </si>
  <si>
    <t>access</t>
  </si>
  <si>
    <t>備考</t>
  </si>
  <si>
    <t>接着剤</t>
  </si>
  <si>
    <t>I-00001</t>
  </si>
  <si>
    <t>瞬間接着剤</t>
  </si>
  <si>
    <t>接着</t>
  </si>
  <si>
    <t>白黒・白赤小パッケージ計3点、ミニチューブ3本入り含む</t>
  </si>
  <si>
    <t>I-00002</t>
  </si>
  <si>
    <t>エポキシ2液混合接着剤</t>
  </si>
  <si>
    <t>赤オレンジ・オレンジ黒赤台紙パッケージ計4点</t>
  </si>
  <si>
    <t>I-00003</t>
  </si>
  <si>
    <t>強力接着剤チューブ</t>
  </si>
  <si>
    <t>カゴ内、2本セット×2種類</t>
  </si>
  <si>
    <t>I-00004</t>
  </si>
  <si>
    <t>多用途ボンド</t>
  </si>
  <si>
    <t>カゴ内、大きめチューブ</t>
  </si>
  <si>
    <t>I-00005</t>
  </si>
  <si>
    <t>うるし</t>
  </si>
  <si>
    <t>塗装</t>
  </si>
  <si>
    <t>カゴ内、オレンジパッケージ</t>
  </si>
  <si>
    <t>文房具</t>
  </si>
  <si>
    <t>I-00006</t>
  </si>
  <si>
    <t>ペン類</t>
  </si>
  <si>
    <t>ボールペン・シャープ・蛍光ペン等複数本</t>
  </si>
  <si>
    <t>I-00007</t>
  </si>
  <si>
    <t>消しゴム</t>
  </si>
  <si>
    <t>MONOゼロノック式</t>
  </si>
  <si>
    <t>I-00008</t>
  </si>
  <si>
    <t>ハサミ・カッター</t>
  </si>
  <si>
    <t>カッターナイフ含む</t>
  </si>
  <si>
    <t>小物</t>
  </si>
  <si>
    <t>I-00009</t>
  </si>
  <si>
    <t>つめ切り・爪やすり</t>
  </si>
  <si>
    <t>日用品</t>
  </si>
  <si>
    <t>台紙付きつめ切り・金属製やすり</t>
  </si>
  <si>
    <t>I-00010</t>
  </si>
  <si>
    <t>クリップ類</t>
  </si>
  <si>
    <t>各種クリップ</t>
  </si>
  <si>
    <t>電材</t>
  </si>
  <si>
    <t>I-00011</t>
  </si>
  <si>
    <t>結束バンド（白）</t>
  </si>
  <si>
    <t>10cm・120本入パッケージ</t>
  </si>
  <si>
    <t>I-00012</t>
  </si>
  <si>
    <t>小ネジボックス</t>
  </si>
  <si>
    <t>ネジ</t>
  </si>
  <si>
    <t>小ネジ各種入りボックス</t>
  </si>
  <si>
    <t>I-00013</t>
  </si>
  <si>
    <t>両面テープ</t>
  </si>
  <si>
    <t>テープ</t>
  </si>
  <si>
    <t>パッケージ入り</t>
  </si>
  <si>
    <t>不明</t>
  </si>
  <si>
    <t>I-00014</t>
  </si>
  <si>
    <t>不明チューブ・容器類</t>
  </si>
  <si>
    <t>白チューブ・青白キャップ容器2点</t>
  </si>
  <si>
    <t>運動</t>
  </si>
  <si>
    <t>I-00015</t>
  </si>
  <si>
    <t>ハンドグリップ</t>
  </si>
  <si>
    <t>握力トレーニング器具</t>
  </si>
  <si>
    <t>資材</t>
  </si>
  <si>
    <t>I-00016</t>
  </si>
  <si>
    <t>黄色ロールテープ</t>
  </si>
  <si>
    <t>15mm幅×20m、粘着なし</t>
  </si>
  <si>
    <t>I-00017</t>
  </si>
  <si>
    <t>敷居スベリ</t>
  </si>
  <si>
    <t>白青パッケージ</t>
  </si>
  <si>
    <t>I-00018</t>
  </si>
  <si>
    <t>ケーブル類</t>
  </si>
  <si>
    <t>白インナーケース、USBケーブル・電源コード等</t>
  </si>
  <si>
    <t>I-00019</t>
  </si>
  <si>
    <t>ケーブル固定具</t>
  </si>
  <si>
    <t>白黒パーツ、ビニール袋入り・袋外に数点</t>
  </si>
  <si>
    <t>I-00020</t>
  </si>
  <si>
    <t>透明ケース類</t>
  </si>
  <si>
    <t>複数枚重なり</t>
  </si>
  <si>
    <t>I-00021</t>
  </si>
  <si>
    <t>黒ジッパーポーチ</t>
  </si>
  <si>
    <t>中身不明</t>
  </si>
  <si>
    <t>I-00022</t>
  </si>
  <si>
    <t>白板状の物</t>
  </si>
  <si>
    <t>カード状</t>
  </si>
  <si>
    <t>I-00023</t>
  </si>
  <si>
    <t>黒V字型器具</t>
  </si>
  <si>
    <t>用途不明</t>
  </si>
  <si>
    <t>I-00024</t>
  </si>
  <si>
    <t>マグネットフック</t>
  </si>
  <si>
    <t>白丸型4点、うち2点黄色マーク</t>
  </si>
  <si>
    <t>I-00025</t>
  </si>
  <si>
    <t>USBメモリ</t>
  </si>
  <si>
    <t>白1点・黒1点</t>
  </si>
  <si>
    <t>I-00026</t>
  </si>
  <si>
    <t>eneloop充電器</t>
  </si>
  <si>
    <t>白色</t>
  </si>
  <si>
    <t>I-00027</t>
  </si>
  <si>
    <t>黒色小型電子機器</t>
  </si>
  <si>
    <t>I-00028</t>
  </si>
  <si>
    <t>リモコン類</t>
  </si>
  <si>
    <t>黒薄型・灰色円形ボタン</t>
  </si>
  <si>
    <t>I-00029</t>
  </si>
  <si>
    <t>L字型アンテナ</t>
  </si>
  <si>
    <t>端子付き</t>
  </si>
  <si>
    <t>I-00030</t>
  </si>
  <si>
    <t>コーティング洋灯フック</t>
  </si>
  <si>
    <t>透明ケース入り</t>
  </si>
  <si>
    <t>I-00031</t>
  </si>
  <si>
    <t>電子基板・パーツ</t>
  </si>
  <si>
    <t>半透明ケース入り</t>
  </si>
  <si>
    <t>I-00032</t>
  </si>
  <si>
    <t>SDカード</t>
  </si>
  <si>
    <t>黒カード</t>
  </si>
  <si>
    <t>I-00033</t>
  </si>
  <si>
    <t>黒円形パーツ</t>
  </si>
  <si>
    <t>6点</t>
  </si>
  <si>
    <t>I-00034</t>
  </si>
  <si>
    <t>小ネジ</t>
  </si>
  <si>
    <t>左列下段</t>
  </si>
  <si>
    <t>I-00035</t>
  </si>
  <si>
    <t>ピルケース・小物ケース</t>
  </si>
  <si>
    <t>I-00036</t>
  </si>
  <si>
    <t>えっちゃん・しゅうやのおもちゃ類</t>
  </si>
  <si>
    <t>右列上段</t>
  </si>
  <si>
    <t>I-00037</t>
  </si>
  <si>
    <t>結束バンド各種</t>
  </si>
  <si>
    <t>白・黒・繰り返しタイプ含む</t>
  </si>
  <si>
    <t>I-00038</t>
  </si>
  <si>
    <t>3M両面テープ</t>
  </si>
  <si>
    <t>Electronics用</t>
  </si>
  <si>
    <t>I-00039</t>
  </si>
  <si>
    <t>黒角丸パッド</t>
  </si>
  <si>
    <t>台紙付き</t>
  </si>
  <si>
    <t>I-00040</t>
  </si>
  <si>
    <t>防振粘着マット類</t>
  </si>
  <si>
    <t>複数パッケージ</t>
  </si>
  <si>
    <t>I-00041</t>
  </si>
  <si>
    <t>耐震マット</t>
  </si>
  <si>
    <t>透明角型</t>
  </si>
  <si>
    <t>I-00042</t>
  </si>
  <si>
    <t>緑色衝撃吸収パッド</t>
  </si>
  <si>
    <t>大2枚・小6枚</t>
  </si>
  <si>
    <t>I-00043</t>
  </si>
  <si>
    <t>3Mはがせる両面テープ</t>
  </si>
  <si>
    <t>黄緑白赤パッケージ</t>
  </si>
  <si>
    <t>Mサイズ</t>
  </si>
  <si>
    <t>I-00044</t>
  </si>
  <si>
    <t>コマンドタブテープ</t>
  </si>
  <si>
    <t>2パック</t>
  </si>
  <si>
    <t>I-00045</t>
  </si>
  <si>
    <t>家具転倒防止プレート</t>
  </si>
  <si>
    <t>黒金属製</t>
  </si>
  <si>
    <t>I-00046</t>
  </si>
  <si>
    <t>吸盤補助板</t>
  </si>
  <si>
    <t>直径8cm</t>
  </si>
  <si>
    <t>I-00047</t>
  </si>
  <si>
    <t>L字補強プレート</t>
  </si>
  <si>
    <t>白金属製</t>
  </si>
  <si>
    <t>I-00048</t>
  </si>
  <si>
    <t>フック・プレート類</t>
  </si>
  <si>
    <t>混在</t>
  </si>
  <si>
    <t>I-00049</t>
  </si>
  <si>
    <t>黒円形粘着パッド</t>
  </si>
  <si>
    <t>複数枚</t>
  </si>
  <si>
    <t>I-00050</t>
  </si>
  <si>
    <t>円形金属パーツ</t>
  </si>
  <si>
    <t>I-00051</t>
  </si>
  <si>
    <t>粘着Jフック</t>
  </si>
  <si>
    <t>黒J字型</t>
  </si>
  <si>
    <t>I-00052</t>
  </si>
  <si>
    <t>車用カメラ</t>
  </si>
  <si>
    <t>未使用</t>
  </si>
  <si>
    <t>I-00053</t>
  </si>
  <si>
    <t>モニタ</t>
  </si>
  <si>
    <t>I-00054</t>
  </si>
  <si>
    <t>ドライバー類（大）</t>
  </si>
  <si>
    <t>黄黒太グリップ</t>
  </si>
  <si>
    <t>I-00055</t>
  </si>
  <si>
    <t>ドライバー類（中）</t>
  </si>
  <si>
    <t>赤・黒グリップ</t>
  </si>
  <si>
    <t>I-00056</t>
  </si>
  <si>
    <t>ドライバー類（小）</t>
  </si>
  <si>
    <t>精密</t>
  </si>
  <si>
    <t>I-00057</t>
  </si>
  <si>
    <t>精密ドライバーセット</t>
  </si>
  <si>
    <t>青黄ケース入り</t>
  </si>
  <si>
    <t>I-00058</t>
  </si>
  <si>
    <t>ペンチ・ニッパー類（大）</t>
  </si>
  <si>
    <t>錆びあり</t>
  </si>
  <si>
    <t>I-00059</t>
  </si>
  <si>
    <t>ペンチ・ニッパー類（小）</t>
  </si>
  <si>
    <t>I-00060</t>
  </si>
  <si>
    <t>レンチ・スパナ</t>
  </si>
  <si>
    <t>2本</t>
  </si>
  <si>
    <t>I-00061</t>
  </si>
  <si>
    <t>バイスプライヤー（小）</t>
  </si>
  <si>
    <t>銀色</t>
  </si>
  <si>
    <t>I-00062</t>
  </si>
  <si>
    <t>ヤスリ類</t>
  </si>
  <si>
    <t>平ヤスリ3本</t>
  </si>
  <si>
    <t>I-00063</t>
  </si>
  <si>
    <t>カッター・スクレーパー</t>
  </si>
  <si>
    <t>黄カッター</t>
  </si>
  <si>
    <t>I-00064</t>
  </si>
  <si>
    <t>彫刻刀・切り出し小刀</t>
  </si>
  <si>
    <t>3本</t>
  </si>
  <si>
    <t>I-00065</t>
  </si>
  <si>
    <t>タガネ・ピック工具</t>
  </si>
  <si>
    <t>金属製</t>
  </si>
  <si>
    <t>I-00066</t>
  </si>
  <si>
    <t>木製ブロック</t>
  </si>
  <si>
    <t>3点</t>
  </si>
  <si>
    <t>玄関小物</t>
  </si>
  <si>
    <t>I-00067</t>
  </si>
  <si>
    <t>茶白ラインロールテープ</t>
  </si>
  <si>
    <t>I-00068</t>
  </si>
  <si>
    <t>茶色ロールシート</t>
  </si>
  <si>
    <t>I-00069</t>
  </si>
  <si>
    <t>白ロールテープ</t>
  </si>
  <si>
    <t>I-00070</t>
  </si>
  <si>
    <t>黒ロールテープ</t>
  </si>
  <si>
    <t>I-00071</t>
  </si>
  <si>
    <t>グルースティック</t>
  </si>
  <si>
    <t>I-00072</t>
  </si>
  <si>
    <t>カッターナイフ（大型・黄黒）</t>
  </si>
  <si>
    <t>I-00073</t>
  </si>
  <si>
    <t>カッターナイフ（黄黒）</t>
  </si>
  <si>
    <t>I-00074</t>
  </si>
  <si>
    <t>ハサミ（赤持ち手）</t>
  </si>
  <si>
    <t>I-00075</t>
  </si>
  <si>
    <t>ハサミ（黒/グレー持ち手）</t>
  </si>
  <si>
    <t>I-00076</t>
  </si>
  <si>
    <t>半透明仕切りケース</t>
  </si>
  <si>
    <t>収納</t>
  </si>
  <si>
    <t>I-00077</t>
  </si>
  <si>
    <t>彫刻刀セット</t>
  </si>
  <si>
    <t>I-00078</t>
  </si>
  <si>
    <t>乾電池</t>
  </si>
  <si>
    <t>I-00079</t>
  </si>
  <si>
    <t>強粘着ふせん（黄色）</t>
  </si>
  <si>
    <t>I-00080</t>
  </si>
  <si>
    <t>NOTE（黒パッケージ）</t>
  </si>
  <si>
    <t>I-00081</t>
  </si>
  <si>
    <t>ベージュ長方形マット</t>
  </si>
  <si>
    <t>I-00082</t>
  </si>
  <si>
    <t>半透明ケース内パーツ</t>
  </si>
  <si>
    <t>I-00083</t>
  </si>
  <si>
    <t>DOGYUバール</t>
  </si>
  <si>
    <t>I-00084</t>
  </si>
  <si>
    <t>木製カンナ</t>
  </si>
  <si>
    <t>I-00085</t>
  </si>
  <si>
    <t>折込鋸150</t>
  </si>
  <si>
    <t>I-00086</t>
  </si>
  <si>
    <t>カナヅチ</t>
  </si>
  <si>
    <t>I-00087</t>
  </si>
  <si>
    <t>ラバーグリップハンマー</t>
  </si>
  <si>
    <t>I-00088</t>
  </si>
  <si>
    <t>金属ヘラ状工具</t>
  </si>
  <si>
    <t>I-00089</t>
  </si>
  <si>
    <t>与板利器工業工具</t>
  </si>
  <si>
    <t>I-00090</t>
  </si>
  <si>
    <t>木製柄付き工具</t>
  </si>
  <si>
    <t>サイドテーブル引き出し2段目</t>
  </si>
  <si>
    <t>アイテム</t>
  </si>
  <si>
    <t>I-00114</t>
  </si>
  <si>
    <t>ネピアティシュ</t>
  </si>
  <si>
    <t>I-00115</t>
  </si>
  <si>
    <t>HANDYSAW</t>
  </si>
  <si>
    <t>I-00116</t>
  </si>
  <si>
    <t>テープ（薄黄色）</t>
  </si>
  <si>
    <t>I-00117</t>
  </si>
  <si>
    <t>テープ（透明）</t>
  </si>
  <si>
    <t>I-00118</t>
  </si>
  <si>
    <t>タップダイスセット</t>
  </si>
  <si>
    <t>サイドテーブル引き出し3段目</t>
  </si>
  <si>
    <t>I-00119</t>
  </si>
  <si>
    <t>薄黄色テープ</t>
  </si>
  <si>
    <t>I-00120</t>
  </si>
  <si>
    <t>黒クリップ類入り袋</t>
  </si>
  <si>
    <t>固定具</t>
  </si>
  <si>
    <t>I-00121</t>
  </si>
  <si>
    <t>空チャック袋</t>
  </si>
  <si>
    <t>袋</t>
  </si>
  <si>
    <t>I-00122</t>
  </si>
  <si>
    <t>刷毛多用途70</t>
  </si>
  <si>
    <t>I-00123</t>
  </si>
  <si>
    <t>刷毛平刷毛</t>
  </si>
  <si>
    <t>I-00124</t>
  </si>
  <si>
    <t>刷毛多用途</t>
  </si>
  <si>
    <t>I-00125</t>
  </si>
  <si>
    <t>刷毛万能用</t>
  </si>
  <si>
    <t>I-00126</t>
  </si>
  <si>
    <t>刷毛細身斜め刃</t>
  </si>
  <si>
    <t>I-00127</t>
  </si>
  <si>
    <t>巻尺20m</t>
  </si>
  <si>
    <t>I-00128</t>
  </si>
  <si>
    <t>ECOFUSED両面テープ</t>
  </si>
  <si>
    <t>I-00129</t>
  </si>
  <si>
    <t>赤色両面テープ</t>
  </si>
  <si>
    <t>I-00130</t>
  </si>
  <si>
    <t>透明小型テープ</t>
  </si>
  <si>
    <t>I-00131</t>
  </si>
  <si>
    <t>黒ビニールテープ（1）</t>
  </si>
  <si>
    <t>I-00132</t>
  </si>
  <si>
    <t>黒ビニールテープ（2）</t>
  </si>
  <si>
    <t>I-00133</t>
  </si>
  <si>
    <t>アクリルフォーム両面テープ（透明）</t>
  </si>
  <si>
    <t>I-00134</t>
  </si>
  <si>
    <t>アクリルフォーム両面テープ（自動車用）</t>
  </si>
  <si>
    <t>I-00135</t>
  </si>
  <si>
    <t>融着テープ</t>
  </si>
  <si>
    <t>I-00136</t>
  </si>
  <si>
    <t>黒ビニールテープ（黄色紙）</t>
  </si>
  <si>
    <t>I-00137</t>
  </si>
  <si>
    <t>茶色布テープ</t>
  </si>
  <si>
    <t>I-00138</t>
  </si>
  <si>
    <t>養生テープ（緑/白）</t>
  </si>
  <si>
    <t>I-00139</t>
  </si>
  <si>
    <t>YAMORI GRIP粘着ゲルテープ</t>
  </si>
  <si>
    <t>I-00140</t>
  </si>
  <si>
    <t>面ファスナー装着テープ</t>
  </si>
  <si>
    <t>I-00141</t>
  </si>
  <si>
    <t>平型ヒューズセット</t>
  </si>
  <si>
    <t>I-00142</t>
  </si>
  <si>
    <t>手箒</t>
  </si>
  <si>
    <t>I-00143</t>
  </si>
  <si>
    <t>刷毛70</t>
  </si>
  <si>
    <t>I-00144</t>
  </si>
  <si>
    <t>刷毛30</t>
  </si>
  <si>
    <t>I-00145</t>
  </si>
  <si>
    <t>結束バンド（袋入り）</t>
  </si>
  <si>
    <t>サイドテーブル右ネット</t>
  </si>
  <si>
    <t>I-00146</t>
  </si>
  <si>
    <t>マイナスドライバー（黄黒）</t>
  </si>
  <si>
    <t>I-00147</t>
  </si>
  <si>
    <t>マイナスドライバー（黒赤・長軸）</t>
  </si>
  <si>
    <t>I-00148</t>
  </si>
  <si>
    <t>ドライバー（赤黒・1）</t>
  </si>
  <si>
    <t>I-00149</t>
  </si>
  <si>
    <t>ドライバー（赤黒・2）</t>
  </si>
  <si>
    <t>I-00150</t>
  </si>
  <si>
    <t>ドライバー（赤黒・3）</t>
  </si>
  <si>
    <t>I-00151</t>
  </si>
  <si>
    <t>大型マイナスドライバー（木柄）</t>
  </si>
  <si>
    <t>I-00152</t>
  </si>
  <si>
    <t>ハサミ（黒大指穴）</t>
  </si>
  <si>
    <t>I-00153</t>
  </si>
  <si>
    <t>ハサミ（黒持ち手）</t>
  </si>
  <si>
    <t>I-00154</t>
  </si>
  <si>
    <t>ロッキングプライヤー（銀）</t>
  </si>
  <si>
    <t>I-00155</t>
  </si>
  <si>
    <t>ラジオペンチ（黒オレンジ）</t>
  </si>
  <si>
    <t>I-00156</t>
  </si>
  <si>
    <t>ニッパー（オレンジ）</t>
  </si>
  <si>
    <t>I-00157</t>
  </si>
  <si>
    <t>ニッパー（黄色）</t>
  </si>
  <si>
    <t>I-00158</t>
  </si>
  <si>
    <t>小型ラジオペンチ（黒黄）</t>
  </si>
  <si>
    <t>I-00159</t>
  </si>
  <si>
    <t>小型ニッパー（赤黒）</t>
  </si>
  <si>
    <t>I-00160</t>
  </si>
  <si>
    <t>小型ラジオペンチ（緑黒）</t>
  </si>
  <si>
    <t>I-00161</t>
  </si>
  <si>
    <t>小型ラジオペンチ（黒・バネ付き）</t>
  </si>
  <si>
    <t>I-00162</t>
  </si>
  <si>
    <t>小型ラジオペンチ（青黒・バネ付き）</t>
  </si>
  <si>
    <t>I-00163</t>
  </si>
  <si>
    <t>小型エンドニッパー（赤）</t>
  </si>
  <si>
    <t>I-00164</t>
  </si>
  <si>
    <t>ラジオペンチ（青黄・細長）</t>
  </si>
  <si>
    <t>I-00165</t>
  </si>
  <si>
    <t>ニッパー（グレーオレンジ）</t>
  </si>
  <si>
    <t>I-00166</t>
  </si>
  <si>
    <t>ラジオペンチ（青黄・標準）</t>
  </si>
  <si>
    <t>I-00167</t>
  </si>
  <si>
    <t>デジタルノギス</t>
  </si>
  <si>
    <t>計測器</t>
  </si>
  <si>
    <t>サイドテーブル四段目引出し</t>
  </si>
  <si>
    <t>I-00168</t>
  </si>
  <si>
    <t>IPA 100% イソプロピルアルコール 1L</t>
  </si>
  <si>
    <t>液体</t>
  </si>
  <si>
    <t>I-00169</t>
  </si>
  <si>
    <t>精製水 500mL（1）</t>
  </si>
  <si>
    <t>I-00170</t>
  </si>
  <si>
    <t>精製水 500mL（2）</t>
  </si>
  <si>
    <t>I-00171</t>
  </si>
  <si>
    <t>水（手書きラベル）</t>
  </si>
  <si>
    <t>I-00172</t>
  </si>
  <si>
    <t>ニチバン テープはがし 強力タイプ</t>
  </si>
  <si>
    <t>I-00173</t>
  </si>
  <si>
    <t>シールはがしスプレー（緑・1）</t>
  </si>
  <si>
    <t>スプレー</t>
  </si>
  <si>
    <t>I-00174</t>
  </si>
  <si>
    <t>シールはがしスプレー（緑・2）</t>
  </si>
  <si>
    <t>I-00175</t>
  </si>
  <si>
    <t>コクヨ シールはがし</t>
  </si>
  <si>
    <t>I-00176</t>
  </si>
  <si>
    <t>シールはがし 70ml</t>
  </si>
  <si>
    <t>I-00177</t>
  </si>
  <si>
    <t>GAS BOMBE ガスボンベ</t>
  </si>
  <si>
    <t>燃料</t>
  </si>
  <si>
    <t>I-00178</t>
  </si>
  <si>
    <t>CASHEW THINNER うすめ液 300ml</t>
  </si>
  <si>
    <t>I-00179</t>
  </si>
  <si>
    <t>MULTI GAS ライター専用ガス</t>
  </si>
  <si>
    <t>I-00180</t>
  </si>
  <si>
    <t>消毒用エタノール 500mL</t>
  </si>
  <si>
    <t>I-00181</t>
  </si>
  <si>
    <t>無水エタノール 500mL</t>
  </si>
  <si>
    <t>I-00182</t>
  </si>
  <si>
    <t>クリエイティブカラースプレー</t>
  </si>
  <si>
    <t>I-00183</t>
  </si>
  <si>
    <t>ALOE SKIN LOTION</t>
  </si>
  <si>
    <t>I-00184</t>
  </si>
  <si>
    <t>FINGER BOARD SPRAY SK-05</t>
  </si>
  <si>
    <t>I-00185</t>
  </si>
  <si>
    <t>zippo Lighter Fluid</t>
  </si>
  <si>
    <t>I-00186</t>
  </si>
  <si>
    <t>グリーススプレー 65ml（1）</t>
  </si>
  <si>
    <t>I-00187</t>
  </si>
  <si>
    <t>グリーススプレー 65ml（2）</t>
  </si>
  <si>
    <t>I-00188</t>
  </si>
  <si>
    <t>シリコーンスプレー（青白・1）</t>
  </si>
  <si>
    <t>I-00189</t>
  </si>
  <si>
    <t>シリコーンスプレー（青白・2）</t>
  </si>
  <si>
    <t>I-00190</t>
  </si>
  <si>
    <t>ガスバーナートーチ</t>
  </si>
  <si>
    <t>I-00191</t>
  </si>
  <si>
    <t>耐水ペーパー 8枚セット</t>
  </si>
  <si>
    <t>I-00192</t>
  </si>
  <si>
    <t>水糸（コーセン）</t>
  </si>
  <si>
    <t>白トレイ内、10m/350</t>
  </si>
  <si>
    <t>I-00193</t>
  </si>
  <si>
    <t>白トレイ内、半透明</t>
  </si>
  <si>
    <t>I-00194</t>
  </si>
  <si>
    <t>S字フック類</t>
  </si>
  <si>
    <t>白トレイ内、複数</t>
  </si>
  <si>
    <t>I-00195</t>
  </si>
  <si>
    <t>精密ドライバー（銀）</t>
  </si>
  <si>
    <t>白トレイ内</t>
  </si>
  <si>
    <t>I-00196</t>
  </si>
  <si>
    <t>マーカー（黒・DAISO）</t>
  </si>
  <si>
    <t>I-00197</t>
  </si>
  <si>
    <t>ネジ・釘類</t>
  </si>
  <si>
    <t>白トレイ内、まとめて数点</t>
  </si>
  <si>
    <t>I-00198</t>
  </si>
  <si>
    <t>カッター替刃（Titanium Blade）</t>
  </si>
  <si>
    <t>黒トレイ内</t>
  </si>
  <si>
    <t>I-00199</t>
  </si>
  <si>
    <t>カッターナイフ（黄・黒刃）</t>
  </si>
  <si>
    <t>I-00200</t>
  </si>
  <si>
    <t>カッターナイフ（その他）</t>
  </si>
  <si>
    <t>黒トレイ内、複数本</t>
  </si>
  <si>
    <t>I-00201</t>
  </si>
  <si>
    <t>ハサミ（ピンク・大）</t>
  </si>
  <si>
    <t>I-00202</t>
  </si>
  <si>
    <t>ハサミ（ピンク・小・TITANIUM）</t>
  </si>
  <si>
    <t>I-00203</t>
  </si>
  <si>
    <t>ハサミ（黒）</t>
  </si>
  <si>
    <t>I-00204</t>
  </si>
  <si>
    <t>プラスドライバー（赤黒・短）</t>
  </si>
  <si>
    <t>透明トレイ内</t>
  </si>
  <si>
    <t>I-00205</t>
  </si>
  <si>
    <t>プラスドライバー（赤黒・長）</t>
  </si>
  <si>
    <t>I-00206</t>
  </si>
  <si>
    <t>パテベラ（木柄）</t>
  </si>
  <si>
    <t>隙間（直接引出し）</t>
  </si>
  <si>
    <t>I-00207</t>
  </si>
  <si>
    <t>内張りはがし（オレンジ）</t>
  </si>
  <si>
    <t>I-00208</t>
  </si>
  <si>
    <t>剪定バサミ（黒）</t>
  </si>
  <si>
    <t>I-00209</t>
  </si>
  <si>
    <t>ハサミ（ピンク）</t>
  </si>
  <si>
    <t>切断作業</t>
  </si>
  <si>
    <t>I-00211</t>
  </si>
  <si>
    <t>カッターナイフ（大型・替刃）</t>
  </si>
  <si>
    <t>I-00212</t>
  </si>
  <si>
    <t>プラスドライバー（赤・黒）</t>
  </si>
  <si>
    <t>ネジ締め・緩め</t>
  </si>
  <si>
    <t>I-00213</t>
  </si>
  <si>
    <t>マイナスドライバー（黒）</t>
  </si>
  <si>
    <t>I-00214</t>
  </si>
  <si>
    <t>万能ハサミ（金切バサミ）</t>
  </si>
  <si>
    <t>硬質材の切断</t>
  </si>
  <si>
    <t>I-00215</t>
  </si>
  <si>
    <t>スクレーパー（木製柄）</t>
  </si>
  <si>
    <t>削り・剥がし作業</t>
  </si>
  <si>
    <t>I-00216</t>
  </si>
  <si>
    <t>内張りはがし（オレンジ・樹脂製）</t>
  </si>
  <si>
    <t>パネル・内装外し</t>
  </si>
  <si>
    <t>I-00217</t>
  </si>
  <si>
    <t>直尺（ステンレススケール）</t>
  </si>
  <si>
    <t>寸法測定・線引き</t>
  </si>
  <si>
    <t>I-00218</t>
  </si>
  <si>
    <t>油性マーカー（黒・マッキー）</t>
  </si>
  <si>
    <t>マーキング</t>
  </si>
  <si>
    <t>I-00219</t>
  </si>
  <si>
    <t>水糸・紐（オレンジ）</t>
  </si>
  <si>
    <t>位置決め・結束</t>
  </si>
  <si>
    <t>I-00220</t>
  </si>
  <si>
    <t>モンキーレンチ（LOBSTER 300）</t>
  </si>
  <si>
    <t>ボルト・ナット回し</t>
  </si>
  <si>
    <t>Gemini再確認版・作業台(2枚目)</t>
  </si>
  <si>
    <t>I-00221</t>
  </si>
  <si>
    <t>ウォーターポンププライヤー</t>
  </si>
  <si>
    <t>配管・掴み作業</t>
  </si>
  <si>
    <t>I-00222</t>
  </si>
  <si>
    <t>圧着工具（電工ペンチ・青黒）</t>
  </si>
  <si>
    <t>端子圧着・配線作業</t>
  </si>
  <si>
    <t>I-00223</t>
  </si>
  <si>
    <t>ネールハンマー（金槌）</t>
  </si>
  <si>
    <t>釘打ち・釘抜き</t>
  </si>
  <si>
    <t>I-00224</t>
  </si>
  <si>
    <t>ボルトクリッパー（エンドニッパー・赤柄）</t>
  </si>
  <si>
    <t>線材・突起切断</t>
  </si>
  <si>
    <t>I-00225</t>
  </si>
  <si>
    <t>フレアツール（配管加工用）</t>
  </si>
  <si>
    <t>銅管フレア加工</t>
  </si>
  <si>
    <t>I-00226</t>
  </si>
  <si>
    <t>パイプカッター（赤フレーム）</t>
  </si>
  <si>
    <t>配管切断</t>
  </si>
  <si>
    <t>I-00227</t>
  </si>
  <si>
    <t>タガネ・チス・ポンチ（木柄・金属製 各種）</t>
  </si>
  <si>
    <t>ハツリ・穴あけ</t>
  </si>
  <si>
    <t>I-00228</t>
  </si>
  <si>
    <t>コンベックス（THE TOOLS 3m）</t>
  </si>
  <si>
    <t>長さ測定</t>
  </si>
  <si>
    <t>高</t>
  </si>
  <si>
    <t>I-00229</t>
  </si>
  <si>
    <t>クラフトハサミ（大・小）</t>
  </si>
  <si>
    <t>I-00230</t>
  </si>
  <si>
    <t>カッターナイフ（標準型）</t>
  </si>
  <si>
    <t>I-00231</t>
  </si>
  <si>
    <t>引き廻し鋸（木柄のこぎり）</t>
  </si>
  <si>
    <t>木材・開口切断</t>
  </si>
  <si>
    <t>I-00232</t>
  </si>
  <si>
    <t>竹尺・木製ヘラ</t>
  </si>
  <si>
    <t>均し・測定</t>
  </si>
  <si>
    <t>PC周辺機器</t>
  </si>
  <si>
    <t>I-00233</t>
  </si>
  <si>
    <t>メインキーボード</t>
  </si>
  <si>
    <t>FILCO製</t>
  </si>
  <si>
    <t>有線フルキーボード</t>
  </si>
  <si>
    <t>I-00234</t>
  </si>
  <si>
    <t>トラックボールマウス</t>
  </si>
  <si>
    <t>ロジクール製</t>
  </si>
  <si>
    <t>I-00235</t>
  </si>
  <si>
    <t>サブマウス</t>
  </si>
  <si>
    <t>レッド×ブラック</t>
  </si>
  <si>
    <t>I-00236</t>
  </si>
  <si>
    <t>モニター</t>
  </si>
  <si>
    <t>3台構成</t>
  </si>
  <si>
    <t>I-00237</t>
  </si>
  <si>
    <t>USBハブ</t>
  </si>
  <si>
    <t>スイッチ付き</t>
  </si>
  <si>
    <t>I-00238</t>
  </si>
  <si>
    <t>PCステッカー</t>
  </si>
  <si>
    <t>Diginnosロゴ</t>
  </si>
  <si>
    <t>事務用品</t>
  </si>
  <si>
    <t>I-00239</t>
  </si>
  <si>
    <t>カッターマット</t>
  </si>
  <si>
    <t>緑色</t>
  </si>
  <si>
    <t>I-00240</t>
  </si>
  <si>
    <t>ペン立て</t>
  </si>
  <si>
    <t>2箇所</t>
  </si>
  <si>
    <t>I-00241</t>
  </si>
  <si>
    <t>筆記具・工具</t>
  </si>
  <si>
    <t>マイネーム等</t>
  </si>
  <si>
    <t>I-00242</t>
  </si>
  <si>
    <t>アラビックのり等</t>
  </si>
  <si>
    <t>I-00243</t>
  </si>
  <si>
    <t>メモ・ノート類</t>
  </si>
  <si>
    <t>リングノート</t>
  </si>
  <si>
    <t>I-00244</t>
  </si>
  <si>
    <t>付箋</t>
  </si>
  <si>
    <t>黄緑色</t>
  </si>
  <si>
    <t>I-00245</t>
  </si>
  <si>
    <t>テープカッター</t>
  </si>
  <si>
    <t>ピンク</t>
  </si>
  <si>
    <t>I-00246</t>
  </si>
  <si>
    <t>パンチ</t>
  </si>
  <si>
    <t>2穴パンチ</t>
  </si>
  <si>
    <t>I-00247</t>
  </si>
  <si>
    <t>マグネットトレイ</t>
  </si>
  <si>
    <t>丸型</t>
  </si>
  <si>
    <t>卓上小物</t>
  </si>
  <si>
    <t>I-00248</t>
  </si>
  <si>
    <t>プラスチックカゴ</t>
  </si>
  <si>
    <t>ピンク2個</t>
  </si>
  <si>
    <t>I-00249</t>
  </si>
  <si>
    <t>スプレー缶</t>
  </si>
  <si>
    <t>フマキラー</t>
  </si>
  <si>
    <t>I-00250</t>
  </si>
  <si>
    <t>木製ケース</t>
  </si>
  <si>
    <t>I-00251</t>
  </si>
  <si>
    <t>衛生・日用品</t>
  </si>
  <si>
    <t>爪楊枝等</t>
  </si>
  <si>
    <t>I-00252</t>
  </si>
  <si>
    <t>ワイヤーラック</t>
  </si>
  <si>
    <t>メッシュ状</t>
  </si>
  <si>
    <t>I-00253</t>
  </si>
  <si>
    <t>USB等</t>
  </si>
  <si>
    <t>I-00254</t>
  </si>
  <si>
    <t>小さいアンビル</t>
  </si>
  <si>
    <t>赤</t>
  </si>
  <si>
    <t>衛生用品</t>
  </si>
  <si>
    <t>I-00255</t>
  </si>
  <si>
    <t>耳かき</t>
  </si>
  <si>
    <t>工具・作業用品</t>
  </si>
  <si>
    <t>I-00256</t>
  </si>
  <si>
    <t>ハンダゴテステーション</t>
  </si>
  <si>
    <t>I-00257</t>
  </si>
  <si>
    <t>糸ハンダ</t>
  </si>
  <si>
    <t>I-00258</t>
  </si>
  <si>
    <t>耐熱シリコン作業マット</t>
  </si>
  <si>
    <t>I-00259</t>
  </si>
  <si>
    <t>ボンド</t>
  </si>
  <si>
    <t>I-00260</t>
  </si>
  <si>
    <t>ハサミ</t>
  </si>
  <si>
    <t>I-00261</t>
  </si>
  <si>
    <t>ペン型精密工具</t>
  </si>
  <si>
    <t>I-00262</t>
  </si>
  <si>
    <t>小型カッター</t>
  </si>
  <si>
    <t>ステーショナリー</t>
  </si>
  <si>
    <t>I-00263</t>
  </si>
  <si>
    <t>卓上マルチスタンド</t>
  </si>
  <si>
    <t>I-00264</t>
  </si>
  <si>
    <t>Haier</t>
  </si>
  <si>
    <t>リモコン</t>
  </si>
  <si>
    <t>I-00265</t>
  </si>
  <si>
    <t>YAMAZEN</t>
  </si>
  <si>
    <t>I-00266</t>
  </si>
  <si>
    <t>ミニカッター</t>
  </si>
  <si>
    <t>2本入</t>
  </si>
  <si>
    <t>I-00267</t>
  </si>
  <si>
    <t>LED電球</t>
  </si>
  <si>
    <t>I-00268</t>
  </si>
  <si>
    <t>マスキングテープ</t>
  </si>
  <si>
    <t>I-00269</t>
  </si>
  <si>
    <t>黒マジックペン</t>
  </si>
  <si>
    <t>マジックペン</t>
  </si>
  <si>
    <t>I-00270</t>
  </si>
  <si>
    <t>TWIN MARKER 黒</t>
  </si>
  <si>
    <t>I-00271</t>
  </si>
  <si>
    <t>歯ブラシ</t>
  </si>
  <si>
    <t>I-00272</t>
  </si>
  <si>
    <t>カッターナイフ</t>
  </si>
  <si>
    <t>I-00273</t>
  </si>
  <si>
    <t>黒ボールペン</t>
  </si>
  <si>
    <t>ボールペン</t>
  </si>
  <si>
    <t>I-00274</t>
  </si>
  <si>
    <t>グレー</t>
  </si>
  <si>
    <t>ペン</t>
  </si>
  <si>
    <t>I-00275</t>
  </si>
  <si>
    <t>白ハサミ</t>
  </si>
  <si>
    <t>I-00276</t>
  </si>
  <si>
    <t>緑 指サック 5個入</t>
  </si>
  <si>
    <t>I-00277</t>
  </si>
  <si>
    <t>ホッチキス</t>
  </si>
  <si>
    <t>I-00278</t>
  </si>
  <si>
    <t>黒テープ</t>
  </si>
  <si>
    <t>I-00279</t>
  </si>
  <si>
    <t>超強力両面テープ</t>
  </si>
  <si>
    <t>I-00280</t>
  </si>
  <si>
    <t>30cm</t>
  </si>
  <si>
    <t>定規</t>
  </si>
  <si>
    <t>I-00281</t>
  </si>
  <si>
    <t>クリップ</t>
  </si>
  <si>
    <t>I-00282</t>
  </si>
  <si>
    <t>ステレオイヤホン</t>
  </si>
  <si>
    <t>リール式</t>
  </si>
  <si>
    <t>I-00283</t>
  </si>
  <si>
    <t>QianLi</t>
  </si>
  <si>
    <t>ツール袋</t>
  </si>
  <si>
    <t>I-00284</t>
  </si>
  <si>
    <t>サングラス</t>
  </si>
  <si>
    <t>I-00285</t>
  </si>
  <si>
    <t>リール付ストラップ</t>
  </si>
  <si>
    <t>I-00286</t>
  </si>
  <si>
    <t>maxell</t>
  </si>
  <si>
    <t>単3乾電池</t>
  </si>
  <si>
    <t>I-00287</t>
  </si>
  <si>
    <t>QianLi iToor PLUS</t>
  </si>
  <si>
    <t>I-00288</t>
  </si>
  <si>
    <t>ボタン電池</t>
  </si>
  <si>
    <t>I-00289</t>
  </si>
  <si>
    <t>CPUチップ</t>
  </si>
  <si>
    <t>I-00290</t>
  </si>
  <si>
    <t>白いロープ</t>
  </si>
  <si>
    <t>I-00291</t>
  </si>
  <si>
    <t>バーコード付き袋</t>
  </si>
  <si>
    <t>I-00292</t>
  </si>
  <si>
    <t>目薬</t>
  </si>
  <si>
    <t>I-00293</t>
  </si>
  <si>
    <t>USB基板部品</t>
  </si>
  <si>
    <t>I-00294</t>
  </si>
  <si>
    <t>電子工作パーツ</t>
  </si>
  <si>
    <t>I-00295</t>
  </si>
  <si>
    <t>精密スプリング</t>
  </si>
  <si>
    <t>I-00296</t>
  </si>
  <si>
    <t>クリーニングブラシ</t>
  </si>
  <si>
    <t>I-00297</t>
  </si>
  <si>
    <t>ピンセット</t>
  </si>
  <si>
    <t>I-00298</t>
  </si>
  <si>
    <t>I-00299</t>
  </si>
  <si>
    <t>ライター</t>
  </si>
  <si>
    <t>I-00300</t>
  </si>
  <si>
    <t>ウェットシート</t>
  </si>
  <si>
    <t>備品</t>
  </si>
  <si>
    <t>I-00301</t>
  </si>
  <si>
    <t>Jet</t>
  </si>
  <si>
    <t>I-00302</t>
  </si>
  <si>
    <t>I-00303</t>
  </si>
  <si>
    <t>手前</t>
  </si>
  <si>
    <t>I-00304</t>
  </si>
  <si>
    <t>WATER BASED MARKER</t>
  </si>
  <si>
    <t>I-00305</t>
  </si>
  <si>
    <t>I-00306</t>
  </si>
  <si>
    <t>ZEBRA</t>
  </si>
  <si>
    <t>3色ボールペン</t>
  </si>
  <si>
    <t>I-00307</t>
  </si>
  <si>
    <t>ENERGEL ア souvenir</t>
  </si>
  <si>
    <t>I-00308</t>
  </si>
  <si>
    <t>PILOT</t>
  </si>
  <si>
    <t>I-00309</t>
  </si>
  <si>
    <t>青</t>
  </si>
  <si>
    <t>I-00310</t>
  </si>
  <si>
    <t>白ボールペン</t>
  </si>
  <si>
    <t>I-00311</t>
  </si>
  <si>
    <t>黄色</t>
  </si>
  <si>
    <t>マーカーペン</t>
  </si>
  <si>
    <t>I-00312</t>
  </si>
  <si>
    <t>I-00313</t>
  </si>
  <si>
    <t>黒シャープペン</t>
  </si>
  <si>
    <t>シャープペン</t>
  </si>
  <si>
    <t>I-00314</t>
  </si>
  <si>
    <t>ビニール袋入りアイテム</t>
  </si>
  <si>
    <t>I-00315</t>
  </si>
  <si>
    <t>カラフル</t>
  </si>
  <si>
    <t>インデックス</t>
  </si>
  <si>
    <t>I-00316</t>
  </si>
  <si>
    <t>外付けHDDケース ゴールド</t>
  </si>
  <si>
    <t>I-00317</t>
  </si>
  <si>
    <t>玄人志向 HDDスタンド 黒</t>
  </si>
  <si>
    <t>I-00318</t>
  </si>
  <si>
    <t>Groovy HDDスタンド 赤</t>
  </si>
  <si>
    <t>I-00319</t>
  </si>
  <si>
    <t>黄黒 ドライバー</t>
  </si>
  <si>
    <t>I-00320</t>
  </si>
  <si>
    <t>黄緑 ドライバー</t>
  </si>
  <si>
    <t>I-00321</t>
  </si>
  <si>
    <t>赤黒 ドライバー</t>
  </si>
  <si>
    <t>I-00322</t>
  </si>
  <si>
    <t>精密ピンセット各種</t>
  </si>
  <si>
    <t>I-00323</t>
  </si>
  <si>
    <t>黒 ハサミ</t>
  </si>
  <si>
    <t>I-00324</t>
  </si>
  <si>
    <t>赤 ハサミ</t>
  </si>
  <si>
    <t>I-00325</t>
  </si>
  <si>
    <t>白 プラスチックバスケット</t>
  </si>
  <si>
    <t>I-00326</t>
  </si>
  <si>
    <t>アクリル ピンセットスタンド</t>
  </si>
  <si>
    <t>I-00327</t>
  </si>
  <si>
    <t>エリエール ティッシュペーパー</t>
  </si>
  <si>
    <t>I-00328</t>
  </si>
  <si>
    <t>白 タオル</t>
  </si>
  <si>
    <t>I-00329</t>
  </si>
  <si>
    <t>ピンク タオル</t>
  </si>
  <si>
    <t>I-00330</t>
  </si>
  <si>
    <t>セメダイン</t>
  </si>
  <si>
    <t>バスコークN</t>
  </si>
  <si>
    <t>I-00331</t>
  </si>
  <si>
    <t>USB Type-A ケーブル</t>
  </si>
  <si>
    <t>I-00332</t>
  </si>
  <si>
    <t>緑</t>
  </si>
  <si>
    <t>ハンドクランプ</t>
  </si>
  <si>
    <t>I-00333</t>
  </si>
  <si>
    <t>折蝶番</t>
  </si>
  <si>
    <t>I-00334</t>
  </si>
  <si>
    <t>ACアダプター</t>
  </si>
  <si>
    <t>黒</t>
  </si>
  <si>
    <t>スマートホーム機器</t>
  </si>
  <si>
    <t>I-00335</t>
  </si>
  <si>
    <t>Google Home mini</t>
  </si>
  <si>
    <t>I-00336</t>
  </si>
  <si>
    <t>SwitchBot Hub</t>
  </si>
  <si>
    <t>I-00337</t>
  </si>
  <si>
    <t>ミニラジオペンチ 青</t>
  </si>
  <si>
    <t>I-00338</t>
  </si>
  <si>
    <t>コンビネーションハンマー 黄黒</t>
  </si>
  <si>
    <t>I-00339</t>
  </si>
  <si>
    <t>ペンチ（サビあり） オレンジ黒</t>
  </si>
  <si>
    <t>I-00340</t>
  </si>
  <si>
    <t>電工ペンチ 黄黒</t>
  </si>
  <si>
    <t>I-00341</t>
  </si>
  <si>
    <t>ニッパー 黒</t>
  </si>
  <si>
    <t>I-00342</t>
  </si>
  <si>
    <t>ペンチ 赤黒</t>
  </si>
  <si>
    <t>I-00343</t>
  </si>
  <si>
    <t>ミニラジオペンチ オレンジ黒</t>
  </si>
  <si>
    <t>I-00344</t>
  </si>
  <si>
    <t>ラジオペンチ 紫</t>
  </si>
  <si>
    <t>I-00345</t>
  </si>
  <si>
    <t>先曲がりラジオペンチ 黄</t>
  </si>
  <si>
    <t>I-00346</t>
  </si>
  <si>
    <t>ニッパー 黄緑</t>
  </si>
  <si>
    <t>I-00347</t>
  </si>
  <si>
    <t>ワイヤーストリッパー FUJIYA オレンジ</t>
  </si>
  <si>
    <t>I-00348</t>
  </si>
  <si>
    <t>貫通ドライバー プラス（大） 赤黒</t>
  </si>
  <si>
    <t>I-00349</t>
  </si>
  <si>
    <t>マイナスドライバー 白黒</t>
  </si>
  <si>
    <t>I-00350</t>
  </si>
  <si>
    <t>ドライバー プラス 赤黒</t>
  </si>
  <si>
    <t>I-00351</t>
  </si>
  <si>
    <t>マイナスドライバー（小） 赤黒</t>
  </si>
  <si>
    <t>I-00352</t>
  </si>
  <si>
    <t>コンクリートタガネ（小）</t>
  </si>
  <si>
    <t>I-00353</t>
  </si>
  <si>
    <t>コンデンサ型ドライバー 青</t>
  </si>
  <si>
    <t>I-00354</t>
  </si>
  <si>
    <t>30cm差し金（L字定規）</t>
  </si>
  <si>
    <t>I-00355</t>
  </si>
  <si>
    <t>プラスチックノギス 白</t>
  </si>
  <si>
    <t>I-00356</t>
  </si>
  <si>
    <t>ステンレス高級定規 30cm</t>
  </si>
  <si>
    <t>I-00357</t>
  </si>
  <si>
    <t>プリセット型トルクレンチ</t>
  </si>
  <si>
    <t>I-00358</t>
  </si>
  <si>
    <t>トルクレンチ用プラスチックケース 黒</t>
  </si>
  <si>
    <t>I-00359</t>
  </si>
  <si>
    <t>精密ニッパー 黄黒</t>
  </si>
  <si>
    <t>I-00360</t>
  </si>
  <si>
    <t>絶縁ビニールテープ 黒</t>
  </si>
  <si>
    <t>I-00361</t>
  </si>
  <si>
    <t>ハサミ 緑</t>
  </si>
  <si>
    <t>I-00362</t>
  </si>
  <si>
    <t>圧着工具プライヤー</t>
  </si>
  <si>
    <t>I-00363</t>
  </si>
  <si>
    <t>ネジロック剤（瞬間接着剤）チューブ</t>
  </si>
  <si>
    <t>I-00364</t>
  </si>
  <si>
    <t>ミニカッター 白</t>
  </si>
  <si>
    <t>I-00365</t>
  </si>
  <si>
    <t>L字六角レンチ・ソケットビット各種</t>
  </si>
  <si>
    <t>I-00366</t>
  </si>
  <si>
    <t>片口スパナ・両口スパナ各種</t>
  </si>
  <si>
    <t>I-00367</t>
  </si>
  <si>
    <t>丸型ミニヤスリ</t>
  </si>
  <si>
    <t>I-00368</t>
  </si>
  <si>
    <t>ミニ切断砥石・軸付パーツ</t>
  </si>
  <si>
    <t>I-00369</t>
  </si>
  <si>
    <t>差し替え精密ドライバー 黒</t>
  </si>
  <si>
    <t>I-00370</t>
  </si>
  <si>
    <t>サンドペーパー各種</t>
  </si>
  <si>
    <t>I-00371</t>
  </si>
  <si>
    <t>アルミ針金（巻）</t>
  </si>
  <si>
    <t>I-00372</t>
  </si>
  <si>
    <t>スナップリングプライヤー 黒</t>
  </si>
  <si>
    <t>I-00373</t>
  </si>
  <si>
    <t>六角レンチ棒各種セット（ホルダー入）</t>
  </si>
  <si>
    <t>I-00374</t>
  </si>
  <si>
    <t>両口スパナ（大） 黒</t>
  </si>
  <si>
    <t>I-00375</t>
  </si>
  <si>
    <t>マイナスドライバー 青白</t>
  </si>
  <si>
    <t>I-00376</t>
  </si>
  <si>
    <t>I-00377</t>
  </si>
  <si>
    <t>精密ドライバー プラス 赤黒</t>
  </si>
  <si>
    <t>I-00378</t>
  </si>
  <si>
    <t>ドライバー マイナス 赤黒</t>
  </si>
  <si>
    <t>I-00379</t>
  </si>
  <si>
    <t>平細ヤスリ オレンジ</t>
  </si>
  <si>
    <t>I-00380</t>
  </si>
  <si>
    <t>モンキーレンチ（中） シルバー</t>
  </si>
  <si>
    <t>I-00381</t>
  </si>
  <si>
    <t>両口メガネレンチ（小） 5.5×7</t>
  </si>
  <si>
    <t>I-00382</t>
  </si>
  <si>
    <t>両口メガネレンチ（中）</t>
  </si>
  <si>
    <t>I-00383</t>
  </si>
  <si>
    <t>モーターレンチ（フックレンチ風）</t>
  </si>
  <si>
    <t>パーツケース上（専用ケース）</t>
  </si>
  <si>
    <t>I-00384</t>
  </si>
  <si>
    <t>Cordless Screwdriver 電動ドライバーセット（白黒・ケース入）</t>
  </si>
  <si>
    <t>I-00385</t>
  </si>
  <si>
    <t>交換用バックル（ジーンズ用）</t>
  </si>
  <si>
    <t>気に入った革ベルトが見つかるまで保留、未使用</t>
  </si>
  <si>
    <t>仮）南ラック白いガラス棚</t>
  </si>
  <si>
    <t>I-00386</t>
  </si>
  <si>
    <t>SZ 接眼レンズ 補助レンズ　プレート</t>
  </si>
  <si>
    <t>N-ID</t>
  </si>
  <si>
    <t>色</t>
  </si>
  <si>
    <t>頭形状</t>
  </si>
  <si>
    <t>サイズ区分</t>
  </si>
  <si>
    <t>N-00001</t>
  </si>
  <si>
    <t>未分類</t>
  </si>
  <si>
    <t>内部未調査</t>
  </si>
  <si>
    <t>N-00002</t>
  </si>
  <si>
    <t>銀</t>
  </si>
  <si>
    <t>S-ID</t>
  </si>
  <si>
    <t>S名称</t>
  </si>
  <si>
    <t>T-ID</t>
  </si>
  <si>
    <t>T名称</t>
  </si>
  <si>
    <t>C-ID</t>
  </si>
  <si>
    <t>C名称</t>
  </si>
  <si>
    <t>【エリア特性シート Ver.1.1（反映版）】</t>
  </si>
  <si>
    <t>・取り出しやすさ：E</t>
  </si>
  <si>
    <t>・脚立必要：必要</t>
  </si>
  <si>
    <t>・重い物向き：だめだめ</t>
  </si>
  <si>
    <t>・軽い物向き：出来るだけ</t>
  </si>
  <si>
    <t>・長期保管向き：基本保管のみ</t>
  </si>
  <si>
    <t>・頻繁利用向き：不可</t>
  </si>
  <si>
    <t>・利用率：30％</t>
  </si>
  <si>
    <t>・主な用途：長期保管</t>
  </si>
  <si>
    <t>・奥行き：幅85 × 奥行80 × 高さ50(cm)</t>
  </si>
  <si>
    <t>　空の収納ケース、2×2アーム、車の部品</t>
  </si>
  <si>
    <t>　実質使用率30％（空き空間は多い）</t>
  </si>
  <si>
    <t>　台になるものは置いておらず、一つの空間として利用</t>
  </si>
  <si>
    <t>・取り出しやすさ：C</t>
  </si>
  <si>
    <t>・脚立必要：不要</t>
  </si>
  <si>
    <t>・重い物向き：置き方次第</t>
  </si>
  <si>
    <t>・軽い物向き：OK</t>
  </si>
  <si>
    <t>・長期保管向き：保管利用はもったいない</t>
  </si>
  <si>
    <t>・頻繁利用向き：行きにくいが利用可</t>
  </si>
  <si>
    <t>・利用率：80〜90％</t>
  </si>
  <si>
    <t>・主な用途：工具・電子部品・作業関連</t>
  </si>
  <si>
    <t>・奥行き：幅85 × 奥行80 × 高さ80(cm)</t>
  </si>
  <si>
    <t>　現状かなり詰まっている</t>
  </si>
  <si>
    <t>　工夫するとさらに収納可能</t>
  </si>
  <si>
    <t>　空間内を机で上下に分割して利用</t>
  </si>
  <si>
    <t>・取り出しやすさ：D</t>
  </si>
  <si>
    <t>・重い物向き：OK</t>
  </si>
  <si>
    <t>・軽い物向き：ケース運用向き</t>
  </si>
  <si>
    <t>・長期保管向き：中期・長期</t>
  </si>
  <si>
    <t>・頻繁利用向き：ケース単位なら可</t>
  </si>
  <si>
    <t>・利用率：40〜50％</t>
  </si>
  <si>
    <t>・主な用途：ケース保管</t>
  </si>
  <si>
    <t>・奥行き：幅85 × 奥行80 × 高さ70(cm)</t>
  </si>
  <si>
    <t>　奥側は特に使いづらい</t>
  </si>
  <si>
    <t>　ケースごと取り出す運用が最適</t>
  </si>
  <si>
    <t>■ 南押入れ 上段</t>
  </si>
  <si>
    <t>・利用率：</t>
  </si>
  <si>
    <t>・主な用途：</t>
  </si>
  <si>
    <t>・奥行き：幅 × 奥行 × 高さ(cm)</t>
  </si>
  <si>
    <t>空箱　ぱっとみ不要な物を箱にいれて突っ込んでます</t>
  </si>
  <si>
    <t>■ 南押入れ 中段</t>
  </si>
  <si>
    <t>不良</t>
  </si>
  <si>
    <t>工具他</t>
  </si>
  <si>
    <t>右側から70％を利用して4段タンスが入っています。中身はかなり煩雑です。</t>
  </si>
  <si>
    <t>■ 南押入れ 下段</t>
  </si>
  <si>
    <t>中期向き</t>
  </si>
  <si>
    <t>右65％を利用して机を置いています。机の上にA3プリンタ、ラミネーターを設置中</t>
  </si>
  <si>
    <t>・取り出しやすさ：S</t>
  </si>
  <si>
    <t>・重い物向き：不可</t>
  </si>
  <si>
    <t>・軽い物向き：良</t>
  </si>
  <si>
    <t>・長期保管向き：非推奨</t>
  </si>
  <si>
    <t>・頻繁利用向き：良</t>
  </si>
  <si>
    <t>・利用率：高め</t>
  </si>
  <si>
    <t>・主な用途：日常作業・電工作業</t>
  </si>
  <si>
    <t>・奥行き：幅45 × 奥行43 × 高さ70(cm)</t>
  </si>
  <si>
    <t>　勉強机のサイドテーブル</t>
  </si>
  <si>
    <t>　引出し3段構成</t>
  </si>
  <si>
    <t>　最下段のみ大型引出し</t>
  </si>
  <si>
    <t>　天板高さ調整済み（メインテーブルと同高さ）</t>
  </si>
  <si>
    <t>・主な用途：工具・頻繁利用物の仮置き</t>
  </si>
  <si>
    <t>・奥行き：幅47 × 奥行62 × 高さ46(cm)</t>
  </si>
  <si>
    <t>　メタルラック</t>
  </si>
  <si>
    <t>　上部のみ利用中</t>
  </si>
  <si>
    <t>　下部は収納ではなく空間利用</t>
  </si>
  <si>
    <t>　工具類を置く作業台に近い運用</t>
  </si>
  <si>
    <t>■ 6段BOX（西側・ピアノ横・入口側）</t>
  </si>
  <si>
    <t>普通</t>
  </si>
  <si>
    <t>・主な用途：ネットワーク機器・周辺収納</t>
  </si>
  <si>
    <t>　上段目：ルーター設置（固定）</t>
  </si>
  <si>
    <t>1段目：書類系</t>
  </si>
  <si>
    <t>2段目：HG、郵便物</t>
  </si>
  <si>
    <t>3段目：保証書、病院系</t>
  </si>
  <si>
    <t>4段目：NAS設置（固定）</t>
  </si>
  <si>
    <t>5段目：カメラ　使用していない</t>
  </si>
  <si>
    <t>6段目：パソコン用サラウンドアンプ　使用していない。</t>
  </si>
  <si>
    <t>　空き段あり</t>
  </si>
  <si>
    <t>　変更可能段あり</t>
  </si>
  <si>
    <t>　NAS設置のため大幅移動は非推奨</t>
  </si>
  <si>
    <t>　左側：良</t>
  </si>
  <si>
    <t>　右側：ベンチの影響で行きにくい</t>
  </si>
  <si>
    <t>　一番右：ピアノの影響で取り出し困難</t>
  </si>
  <si>
    <t>　上部は必要</t>
  </si>
  <si>
    <t>　左側は適性あり</t>
  </si>
  <si>
    <t>　大型収納</t>
  </si>
  <si>
    <t>・奥行き：幅50 × 奥行168 × 高さ170(cm)程度</t>
  </si>
  <si>
    <t>　左側：</t>
  </si>
  <si>
    <t>　　テレビ台</t>
  </si>
  <si>
    <t>工具箱、BOX等</t>
  </si>
  <si>
    <t>台の右側にスペース有り：ミシンを置いています。</t>
  </si>
  <si>
    <t>　　金庫</t>
  </si>
  <si>
    <t>　　三段BOX</t>
  </si>
  <si>
    <t>雑貨他</t>
  </si>
  <si>
    <t>　中央：</t>
  </si>
  <si>
    <t>　　手組みラック</t>
  </si>
  <si>
    <t>A4オーバーが入るかごを並べて設置</t>
  </si>
  <si>
    <t>　上部：</t>
  </si>
  <si>
    <t>　　食器棚等で構成</t>
  </si>
  <si>
    <t>ノートパソコン、パソコンの備品、分解しているパソコン等入れています。</t>
  </si>
  <si>
    <t>　左側は比較的取り出しやすい</t>
  </si>
  <si>
    <t>カタカナ</t>
  </si>
  <si>
    <t>ペアレントID</t>
  </si>
  <si>
    <t>ペアレントタイプ</t>
  </si>
  <si>
    <t>ペアレントネーム</t>
  </si>
  <si>
    <t>タイプ</t>
  </si>
  <si>
    <t>アイテムID</t>
  </si>
  <si>
    <t>アイテムメイショウ</t>
  </si>
  <si>
    <t>ユーセージ</t>
  </si>
  <si>
    <t>アクセス</t>
  </si>
  <si>
    <t>ビコウ</t>
  </si>
  <si>
    <t>日本語</t>
  </si>
  <si>
    <t>親ID</t>
  </si>
  <si>
    <t>親種類</t>
  </si>
  <si>
    <t>親名称</t>
  </si>
  <si>
    <t>分類</t>
  </si>
  <si>
    <t>アイテム名称</t>
  </si>
  <si>
    <t>用途</t>
  </si>
  <si>
    <t xml:space="preserve"> 場所
（または取り出しやすさ）</t>
  </si>
  <si>
    <t>説明</t>
  </si>
  <si>
    <t>親レコードID</t>
  </si>
  <si>
    <t>親の種類</t>
  </si>
  <si>
    <t>親レコード名</t>
  </si>
  <si>
    <t>何であるか</t>
  </si>
  <si>
    <t>管理ID</t>
  </si>
  <si>
    <t>登録名称</t>
  </si>
  <si>
    <t>何に使うか</t>
  </si>
  <si>
    <t>保管場所など</t>
  </si>
  <si>
    <t>補足情報</t>
  </si>
  <si>
    <t>priority</t>
  </si>
  <si>
    <t>location</t>
  </si>
  <si>
    <t>状態</t>
  </si>
  <si>
    <t>登録日時</t>
  </si>
  <si>
    <t>ID_Num（補助）</t>
  </si>
  <si>
    <t>アイテム入力</t>
  </si>
  <si>
    <t>登録用コピー（値貼り付け）</t>
  </si>
  <si>
    <t>黄色の欄を入力。登録用コピー列を値として、アイテム項目の次の空行へ貼り付けます。</t>
  </si>
  <si>
    <t>Items-ID候補</t>
  </si>
  <si>
    <t>C-ID（選択）</t>
  </si>
  <si>
    <t>親T-ID</t>
  </si>
  <si>
    <t>親T名称</t>
  </si>
  <si>
    <t>補足1</t>
  </si>
  <si>
    <t>補足2</t>
  </si>
  <si>
    <t>ID_Num</t>
  </si>
  <si>
    <t>ドライバ</t>
  </si>
  <si>
    <t>電動ドライバ（ミニ）</t>
  </si>
  <si>
    <t>小さい電動ドライバ</t>
  </si>
  <si>
    <t>I-00387</t>
  </si>
  <si>
    <t>有効</t>
  </si>
  <si>
    <t>C-010504</t>
    <phoneticPr fontId="15"/>
  </si>
  <si>
    <t>C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</si>
</sst>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"/>
  </numFmts>
  <fonts count="16">
    <font>
      <sz val="11"/>
      <color theme="1"/>
      <name val="游ゴシック"/>
    </font>
    <font>
      <sz val="8"/>
      <color theme="1"/>
      <name val="游ゴシック"/>
      <family val="3"/>
      <charset val="128"/>
    </font>
    <font>
      <sz val="11"/>
      <color theme="10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ＭＳ Ｐゴシック"/>
      <family val="3"/>
      <charset val="128"/>
    </font>
    <font>
      <sz val="12"/>
      <color theme="1"/>
      <name val="Arial"/>
    </font>
    <font>
      <b/>
      <sz val="15"/>
      <color theme="1"/>
      <name val="Arial"/>
    </font>
    <font>
      <sz val="11"/>
      <color theme="1"/>
      <name val="Courier New"/>
    </font>
    <font>
      <sz val="10"/>
      <color theme="1"/>
      <name val="Arial Unicode MS"/>
    </font>
    <font>
      <b/>
      <sz val="11"/>
      <color theme="1"/>
      <name val="游ゴシック"/>
      <family val="3"/>
      <charset val="128"/>
    </font>
    <font>
      <b/>
      <sz val="11"/>
      <color rgb="FFFFFFFF"/>
      <name val="Arial"/>
      <family val="2"/>
    </font>
    <font>
      <b/>
      <sz val="14"/>
      <color rgb="FF1F1F1F"/>
      <name val="Arial"/>
      <family val="2"/>
    </font>
    <font>
      <i/>
      <sz val="11"/>
      <color rgb="FF595959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2F2F2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1" fillId="0" borderId="1" xfId="0" applyFont="1" applyBorder="1">
      <alignment vertical="center"/>
    </xf>
    <xf numFmtId="0" fontId="1" fillId="0" borderId="10" xfId="0" applyFont="1" applyBorder="1">
      <alignment vertical="center"/>
    </xf>
    <xf numFmtId="0" fontId="2" fillId="0" borderId="0" xfId="1">
      <alignment vertical="center"/>
    </xf>
    <xf numFmtId="9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10" fillId="0" borderId="0" xfId="0" applyFont="1">
      <alignment vertical="center"/>
    </xf>
    <xf numFmtId="0" fontId="1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2" fillId="2" borderId="16" xfId="0" applyFont="1" applyFill="1" applyBorder="1" applyAlignment="1">
      <alignment horizontal="center" vertical="center" wrapText="1"/>
    </xf>
    <xf numFmtId="0" fontId="0" fillId="4" borderId="16" xfId="0" applyFill="1" applyBorder="1">
      <alignment vertical="center"/>
    </xf>
    <xf numFmtId="0" fontId="0" fillId="3" borderId="16" xfId="0" applyFill="1" applyBorder="1">
      <alignment vertical="center"/>
    </xf>
    <xf numFmtId="176" fontId="0" fillId="4" borderId="16" xfId="0" applyNumberFormat="1" applyFill="1" applyBorder="1">
      <alignment vertical="center"/>
    </xf>
    <xf numFmtId="0" fontId="0" fillId="5" borderId="16" xfId="0" applyFill="1" applyBorder="1">
      <alignment vertical="center"/>
    </xf>
    <xf numFmtId="176" fontId="0" fillId="5" borderId="16" xfId="0" applyNumberFormat="1" applyFill="1" applyBorder="1">
      <alignment vertical="center"/>
    </xf>
    <xf numFmtId="0" fontId="3" fillId="3" borderId="16" xfId="0" applyFont="1" applyFill="1" applyBorder="1">
      <alignment vertical="center"/>
    </xf>
    <xf numFmtId="0" fontId="3" fillId="5" borderId="16" xfId="0" applyFont="1" applyFill="1" applyBorder="1">
      <alignment vertical="center"/>
    </xf>
    <xf numFmtId="176" fontId="3" fillId="5" borderId="16" xfId="0" applyNumberFormat="1" applyFont="1" applyFill="1" applyBorder="1">
      <alignment vertical="center"/>
    </xf>
  </cellXfs>
  <cellStyles count="2">
    <cellStyle name="ハイパーリンク" xfId="1" xr:uid="{00000000-0005-0000-0000-000000000000}"/>
    <cellStyle name="標準" xfId="0" builtinId="0"/>
  </cellStyles>
  <dxfs count="7">
    <dxf>
      <fill>
        <patternFill patternType="solid">
          <bgColor rgb="FFFFF2CC"/>
        </patternFill>
      </fill>
    </dxf>
    <dxf>
      <font>
        <color rgb="FF666666"/>
      </font>
      <fill>
        <patternFill patternType="solid">
          <bgColor rgb="FFE7E6E6"/>
        </patternFill>
      </fill>
    </dxf>
    <dxf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000"/>
        </patternFill>
      </fill>
    </dxf>
    <dxf>
      <fill>
        <patternFill patternType="solid">
          <bgColor rgb="FFFFF2CC"/>
        </patternFill>
      </fill>
    </dxf>
    <dxf>
      <font>
        <color rgb="FF666666"/>
      </font>
      <fill>
        <patternFill patternType="solid">
          <bgColor rgb="FFE7E6E6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_Tbl" displayName="S_Tbl" ref="A1:H15" totalsRowShown="0">
  <tableColumns count="8">
    <tableColumn id="1" xr3:uid="{00000000-0010-0000-0000-000001000000}" name="S-ID"/>
    <tableColumn id="2" xr3:uid="{00000000-0010-0000-0000-000002000000}" name="S名称"/>
    <tableColumn id="3" xr3:uid="{00000000-0010-0000-0000-000003000000}" name="type"/>
    <tableColumn id="4" xr3:uid="{00000000-0010-0000-0000-000004000000}" name="T-ID"/>
    <tableColumn id="5" xr3:uid="{00000000-0010-0000-0000-000005000000}" name="T名称"/>
    <tableColumn id="6" xr3:uid="{00000000-0010-0000-0000-000006000000}" name="usage"/>
    <tableColumn id="7" xr3:uid="{00000000-0010-0000-0000-000007000000}" name="access"/>
    <tableColumn id="8" xr3:uid="{00000000-0010-0000-0000-000008000000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Tbl" displayName="T_Tbl" ref="A1:H77" totalsRowShown="0">
  <tableColumns count="8">
    <tableColumn id="1" xr3:uid="{00000000-0010-0000-0100-000001000000}" name="S-ID"/>
    <tableColumn id="2" xr3:uid="{00000000-0010-0000-0100-000002000000}" name="S名称"/>
    <tableColumn id="3" xr3:uid="{00000000-0010-0000-0100-000003000000}" name="type"/>
    <tableColumn id="4" xr3:uid="{00000000-0010-0000-0100-000004000000}" name="T-ID"/>
    <tableColumn id="5" xr3:uid="{00000000-0010-0000-0100-000005000000}" name="T名称"/>
    <tableColumn id="6" xr3:uid="{00000000-0010-0000-0100-000006000000}" name="priority"/>
    <tableColumn id="7" xr3:uid="{00000000-0010-0000-0100-000007000000}" name="location"/>
    <tableColumn id="8" xr3:uid="{00000000-0010-0000-0100-000008000000}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_Tbl" displayName="C_Tbl" ref="A1:H62" totalsRowShown="0">
  <tableColumns count="8">
    <tableColumn id="1" xr3:uid="{00000000-0010-0000-0200-000001000000}" name="parent_id"/>
    <tableColumn id="2" xr3:uid="{00000000-0010-0000-0200-000002000000}" name="parent_name"/>
    <tableColumn id="3" xr3:uid="{00000000-0010-0000-0200-000003000000}" name="type"/>
    <tableColumn id="4" xr3:uid="{00000000-0010-0000-0200-000004000000}" name="C-ID"/>
    <tableColumn id="5" xr3:uid="{00000000-0010-0000-0200-000005000000}" name="C名称"/>
    <tableColumn id="6" xr3:uid="{00000000-0010-0000-0200-000006000000}" name="priority"/>
    <tableColumn id="7" xr3:uid="{00000000-0010-0000-0200-000007000000}" name="location"/>
    <tableColumn id="8" xr3:uid="{00000000-0010-0000-0200-000008000000}" name="備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putTbl" displayName="InputTbl" ref="A4:L24" totalsRowShown="0">
  <tableColumns count="12">
    <tableColumn id="1" xr3:uid="{00000000-0010-0000-0300-000001000000}" name="Items-ID候補"/>
    <tableColumn id="2" xr3:uid="{00000000-0010-0000-0300-000002000000}" name="C-ID（選択）"/>
    <tableColumn id="3" xr3:uid="{00000000-0010-0000-0300-000003000000}" name="親T-ID"/>
    <tableColumn id="4" xr3:uid="{00000000-0010-0000-0300-000004000000}" name="親T名称"/>
    <tableColumn id="5" xr3:uid="{00000000-0010-0000-0300-000005000000}" name="C名称"/>
    <tableColumn id="6" xr3:uid="{00000000-0010-0000-0300-000006000000}" name="Items名称"/>
    <tableColumn id="7" xr3:uid="{00000000-0010-0000-0300-000007000000}" name="type"/>
    <tableColumn id="8" xr3:uid="{00000000-0010-0000-0300-000008000000}" name="usage"/>
    <tableColumn id="9" xr3:uid="{00000000-0010-0000-0300-000009000000}" name="access"/>
    <tableColumn id="10" xr3:uid="{00000000-0010-0000-0300-00000A000000}" name="備考"/>
    <tableColumn id="11" xr3:uid="{00000000-0010-0000-0300-00000B000000}" name="状態"/>
    <tableColumn id="12" xr3:uid="{00000000-0010-0000-0300-00000C000000}" name="登録日時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gisterOutputTbl" displayName="RegisterOutputTbl" ref="N4:AA24" totalsRowShown="0">
  <tableColumns count="14">
    <tableColumn id="1" xr3:uid="{00000000-0010-0000-0400-000001000000}" name="parent_id"/>
    <tableColumn id="2" xr3:uid="{00000000-0010-0000-0400-000002000000}" name="parent_type"/>
    <tableColumn id="3" xr3:uid="{00000000-0010-0000-0400-000003000000}" name="parent_name"/>
    <tableColumn id="4" xr3:uid="{00000000-0010-0000-0400-000004000000}" name="type"/>
    <tableColumn id="5" xr3:uid="{00000000-0010-0000-0400-000005000000}" name="Items-ID"/>
    <tableColumn id="6" xr3:uid="{00000000-0010-0000-0400-000006000000}" name="Items名称"/>
    <tableColumn id="7" xr3:uid="{00000000-0010-0000-0400-000007000000}" name="usage"/>
    <tableColumn id="8" xr3:uid="{00000000-0010-0000-0400-000008000000}" name="access"/>
    <tableColumn id="9" xr3:uid="{00000000-0010-0000-0400-000009000000}" name="備考"/>
    <tableColumn id="10" xr3:uid="{00000000-0010-0000-0400-00000A000000}" name="補足1"/>
    <tableColumn id="11" xr3:uid="{00000000-0010-0000-0400-00000B000000}" name="補足2"/>
    <tableColumn id="12" xr3:uid="{00000000-0010-0000-0400-00000C000000}" name="状態"/>
    <tableColumn id="13" xr3:uid="{00000000-0010-0000-0400-00000D000000}" name="登録日時"/>
    <tableColumn id="14" xr3:uid="{00000000-0010-0000-0400-00000E000000}" name="ID_N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hotos.app.goo.gl/kPWz8Cu53vV18if5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C34"/>
  <sheetViews>
    <sheetView workbookViewId="0"/>
  </sheetViews>
  <sheetFormatPr defaultColWidth="3.25" defaultRowHeight="18.75"/>
  <sheetData>
    <row r="3" spans="1:29" ht="18.75" customHeight="1"/>
    <row r="4" spans="1:29" ht="18.75" customHeight="1">
      <c r="X4" s="1"/>
      <c r="Y4" s="2"/>
      <c r="Z4" s="2"/>
      <c r="AA4" s="2"/>
      <c r="AB4" s="3"/>
    </row>
    <row r="5" spans="1:29" ht="18.75" customHeight="1">
      <c r="A5" t="s">
        <v>0</v>
      </c>
      <c r="Q5" s="1"/>
      <c r="R5" s="2"/>
      <c r="S5" s="3"/>
      <c r="U5" s="1"/>
      <c r="V5" s="2"/>
      <c r="W5" s="3"/>
      <c r="X5" s="4"/>
      <c r="AB5" s="5"/>
    </row>
    <row r="6" spans="1:29" ht="18.75" customHeight="1">
      <c r="A6" s="17" t="s">
        <v>1</v>
      </c>
      <c r="Q6" s="4" t="s">
        <v>2</v>
      </c>
      <c r="S6" s="5"/>
      <c r="U6" s="4" t="s">
        <v>3</v>
      </c>
      <c r="W6" s="5"/>
      <c r="X6" s="4"/>
      <c r="AB6" s="5"/>
    </row>
    <row r="7" spans="1:29" ht="18.75" customHeight="1">
      <c r="Q7" s="4" t="s">
        <v>4</v>
      </c>
      <c r="S7" s="5"/>
      <c r="U7" s="4"/>
      <c r="W7" s="5"/>
      <c r="X7" s="4"/>
      <c r="Y7" t="s">
        <v>5</v>
      </c>
      <c r="AA7" t="s">
        <v>6</v>
      </c>
      <c r="AB7" s="5" t="s">
        <v>7</v>
      </c>
    </row>
    <row r="8" spans="1:29" ht="18.75" customHeight="1">
      <c r="Q8" s="6"/>
      <c r="R8" s="7"/>
      <c r="S8" s="8"/>
      <c r="U8" s="6"/>
      <c r="V8" s="7"/>
      <c r="W8" s="8"/>
      <c r="X8" s="4"/>
      <c r="Y8" t="s">
        <v>8</v>
      </c>
      <c r="AB8" s="5" t="s">
        <v>9</v>
      </c>
    </row>
    <row r="9" spans="1:29" ht="18.75" customHeight="1">
      <c r="L9" s="9" t="s">
        <v>10</v>
      </c>
      <c r="M9" s="10"/>
      <c r="N9" s="10"/>
      <c r="O9" s="10" t="s">
        <v>11</v>
      </c>
      <c r="P9" s="10"/>
      <c r="Q9" s="10"/>
      <c r="R9" s="11"/>
      <c r="S9" s="10"/>
      <c r="T9" s="10"/>
      <c r="U9" s="10" t="s">
        <v>12</v>
      </c>
      <c r="V9" s="16" t="s">
        <v>13</v>
      </c>
      <c r="W9" s="10"/>
      <c r="X9" s="6"/>
      <c r="Y9" s="7"/>
      <c r="Z9" s="7"/>
      <c r="AA9" s="7"/>
      <c r="AB9" s="8" t="s">
        <v>14</v>
      </c>
    </row>
    <row r="10" spans="1:29" ht="18.75" customHeight="1">
      <c r="G10" s="1" t="s">
        <v>15</v>
      </c>
      <c r="H10" s="2"/>
      <c r="I10" s="3"/>
      <c r="J10" s="2"/>
      <c r="K10" s="2"/>
      <c r="L10" s="2"/>
      <c r="M10" s="2"/>
      <c r="N10" s="2"/>
      <c r="O10" s="1"/>
      <c r="P10" s="2"/>
      <c r="Q10" s="2"/>
      <c r="R10" s="2"/>
      <c r="S10" s="2"/>
      <c r="T10" s="2"/>
      <c r="U10" s="2"/>
      <c r="V10" s="2"/>
      <c r="W10" s="3"/>
      <c r="X10" s="2"/>
      <c r="Y10" s="2"/>
      <c r="Z10" s="2"/>
      <c r="AA10" s="2"/>
      <c r="AB10" s="12"/>
    </row>
    <row r="11" spans="1:29" ht="18.75" customHeight="1">
      <c r="G11" s="4"/>
      <c r="H11" t="s">
        <v>16</v>
      </c>
      <c r="I11" s="5"/>
      <c r="O11" s="4"/>
      <c r="W11" s="5"/>
      <c r="AB11" s="13" t="s">
        <v>12</v>
      </c>
    </row>
    <row r="12" spans="1:29" ht="18.75" customHeight="1">
      <c r="G12" s="4"/>
      <c r="H12" t="s">
        <v>17</v>
      </c>
      <c r="I12" s="5"/>
      <c r="O12" s="4"/>
      <c r="R12" t="s">
        <v>18</v>
      </c>
      <c r="W12" s="5"/>
      <c r="AB12" s="13"/>
    </row>
    <row r="13" spans="1:29" ht="18.75" customHeight="1">
      <c r="G13" s="6"/>
      <c r="H13" s="7"/>
      <c r="I13" s="8"/>
      <c r="O13" s="4"/>
      <c r="W13" s="5"/>
      <c r="AB13" s="13"/>
    </row>
    <row r="14" spans="1:29" ht="18.75" customHeight="1">
      <c r="G14" s="1"/>
      <c r="H14" s="2"/>
      <c r="I14" s="3"/>
      <c r="O14" s="6"/>
      <c r="P14" s="7"/>
      <c r="Q14" s="7"/>
      <c r="R14" s="7"/>
      <c r="S14" s="7"/>
      <c r="T14" s="7"/>
      <c r="U14" s="7"/>
      <c r="V14" s="7"/>
      <c r="W14" s="5"/>
      <c r="AB14" s="14"/>
    </row>
    <row r="15" spans="1:29" ht="18.75" customHeight="1">
      <c r="G15" s="4"/>
      <c r="I15" s="5"/>
      <c r="W15" s="1" t="s">
        <v>19</v>
      </c>
      <c r="X15" s="2"/>
      <c r="Y15" s="3"/>
      <c r="AA15" s="15" t="s">
        <v>20</v>
      </c>
      <c r="AB15" s="3"/>
      <c r="AC15" s="12"/>
    </row>
    <row r="16" spans="1:29" ht="18.75" customHeight="1">
      <c r="G16" s="4"/>
      <c r="I16" s="5"/>
      <c r="K16" s="1"/>
      <c r="L16" s="2"/>
      <c r="M16" s="3"/>
      <c r="R16" s="1" t="s">
        <v>21</v>
      </c>
      <c r="S16" s="3"/>
      <c r="W16" s="4" t="s">
        <v>22</v>
      </c>
      <c r="Y16" s="5"/>
      <c r="AA16" s="6"/>
      <c r="AB16" s="8"/>
      <c r="AC16" s="13"/>
    </row>
    <row r="17" spans="7:29" ht="18.75" customHeight="1">
      <c r="G17" s="4"/>
      <c r="I17" s="5"/>
      <c r="K17" s="4"/>
      <c r="M17" s="5"/>
      <c r="R17" s="6"/>
      <c r="S17" s="8"/>
      <c r="W17" s="4"/>
      <c r="Y17" s="8"/>
      <c r="AB17" s="5"/>
      <c r="AC17" s="13"/>
    </row>
    <row r="18" spans="7:29" ht="18.75" customHeight="1">
      <c r="G18" s="4"/>
      <c r="I18" s="5"/>
      <c r="K18" s="4"/>
      <c r="M18" s="5"/>
      <c r="V18" s="1"/>
      <c r="W18" s="2"/>
      <c r="X18" s="3"/>
      <c r="AB18" s="5"/>
      <c r="AC18" s="13" t="s">
        <v>23</v>
      </c>
    </row>
    <row r="19" spans="7:29" ht="18.75" customHeight="1">
      <c r="G19" s="4" t="s">
        <v>24</v>
      </c>
      <c r="I19" s="5"/>
      <c r="K19" s="4"/>
      <c r="M19" s="5"/>
      <c r="V19" s="4" t="s">
        <v>25</v>
      </c>
      <c r="X19" s="5"/>
      <c r="AB19" s="5"/>
      <c r="AC19" s="14"/>
    </row>
    <row r="20" spans="7:29" ht="18.75" customHeight="1">
      <c r="G20" s="4"/>
      <c r="I20" s="5"/>
      <c r="K20" s="4" t="s">
        <v>26</v>
      </c>
      <c r="M20" s="5"/>
      <c r="V20" s="4" t="s">
        <v>16</v>
      </c>
      <c r="X20" s="5"/>
      <c r="AB20" s="5"/>
      <c r="AC20" s="13"/>
    </row>
    <row r="21" spans="7:29" ht="18.75" customHeight="1">
      <c r="G21" s="4"/>
      <c r="I21" s="5"/>
      <c r="K21" s="4" t="s">
        <v>27</v>
      </c>
      <c r="M21" s="5"/>
      <c r="V21" s="4"/>
      <c r="X21" s="5"/>
      <c r="AB21" s="5"/>
      <c r="AC21" s="13"/>
    </row>
    <row r="22" spans="7:29" ht="18.75" customHeight="1">
      <c r="G22" s="4"/>
      <c r="I22" s="5"/>
      <c r="K22" s="4"/>
      <c r="M22" s="5"/>
      <c r="V22" s="6"/>
      <c r="W22" s="7"/>
      <c r="X22" s="8"/>
      <c r="AB22" s="5"/>
      <c r="AC22" s="13" t="s">
        <v>23</v>
      </c>
    </row>
    <row r="23" spans="7:29" ht="18.75" customHeight="1">
      <c r="G23" s="4"/>
      <c r="I23" s="5"/>
      <c r="K23" s="4"/>
      <c r="M23" s="5"/>
      <c r="AB23" s="5"/>
      <c r="AC23" s="13"/>
    </row>
    <row r="24" spans="7:29" ht="18.75" customHeight="1">
      <c r="G24" s="6"/>
      <c r="H24" s="7"/>
      <c r="I24" s="8"/>
      <c r="K24" s="4"/>
      <c r="M24" s="5"/>
      <c r="Z24" s="1"/>
      <c r="AA24" s="2"/>
      <c r="AB24" s="3"/>
      <c r="AC24" s="13"/>
    </row>
    <row r="25" spans="7:29" ht="18.75" customHeight="1">
      <c r="G25" s="4"/>
      <c r="K25" s="4"/>
      <c r="M25" s="5"/>
      <c r="Z25" s="4"/>
      <c r="AB25" s="5"/>
      <c r="AC25" s="13"/>
    </row>
    <row r="26" spans="7:29" ht="18.75" customHeight="1">
      <c r="G26" s="4"/>
      <c r="K26" s="6"/>
      <c r="L26" s="7"/>
      <c r="M26" s="8"/>
      <c r="Z26" s="4" t="s">
        <v>28</v>
      </c>
      <c r="AB26" s="5"/>
      <c r="AC26" s="14"/>
    </row>
    <row r="27" spans="7:29" ht="18.75" customHeight="1">
      <c r="G27" s="4"/>
      <c r="Z27" s="4"/>
      <c r="AB27" s="5"/>
    </row>
    <row r="28" spans="7:29" ht="18.75" customHeight="1">
      <c r="G28" s="1"/>
      <c r="H28" s="2"/>
      <c r="I28" s="2"/>
      <c r="J28" s="2"/>
      <c r="K28" s="2"/>
      <c r="L28" s="2"/>
      <c r="M28" s="2"/>
      <c r="N28" s="2"/>
      <c r="O28" s="2" t="s">
        <v>7</v>
      </c>
      <c r="P28" s="2"/>
      <c r="Q28" s="3"/>
      <c r="Z28" s="4"/>
      <c r="AB28" s="5"/>
    </row>
    <row r="29" spans="7:29" ht="18.75" customHeight="1">
      <c r="G29" s="4"/>
      <c r="O29" t="s">
        <v>9</v>
      </c>
      <c r="Q29" s="5"/>
      <c r="Z29" s="6"/>
      <c r="AA29" s="7"/>
      <c r="AB29" s="8"/>
    </row>
    <row r="30" spans="7:29" ht="18.75" customHeight="1">
      <c r="G30" s="4"/>
      <c r="J30" t="s">
        <v>16</v>
      </c>
      <c r="M30" t="s">
        <v>29</v>
      </c>
      <c r="O30" t="s">
        <v>14</v>
      </c>
      <c r="Q30" s="5"/>
      <c r="AB30" s="5"/>
    </row>
    <row r="31" spans="7:29" ht="18.75" customHeight="1">
      <c r="G31" s="6"/>
      <c r="H31" s="7"/>
      <c r="I31" s="7"/>
      <c r="J31" s="7"/>
      <c r="K31" s="7"/>
      <c r="L31" s="7"/>
      <c r="M31" s="7"/>
      <c r="N31" s="7"/>
      <c r="O31" s="7"/>
      <c r="P31" s="7"/>
      <c r="Q31" s="8"/>
      <c r="R31" s="7"/>
      <c r="S31" s="7"/>
      <c r="T31" s="7"/>
      <c r="U31" s="7"/>
      <c r="V31" s="7"/>
      <c r="W31" s="7"/>
      <c r="X31" s="7"/>
      <c r="Y31" s="7"/>
      <c r="Z31" s="7"/>
      <c r="AA31" s="7"/>
      <c r="AB31" s="8"/>
    </row>
    <row r="32" spans="7:29" ht="18.75" customHeight="1">
      <c r="R32" s="1"/>
      <c r="S32" s="2"/>
      <c r="T32" s="2"/>
      <c r="U32" s="2"/>
      <c r="V32" s="2"/>
      <c r="W32" s="2"/>
      <c r="X32" s="2"/>
      <c r="Y32" s="2" t="s">
        <v>7</v>
      </c>
      <c r="Z32" s="2"/>
      <c r="AA32" s="2"/>
      <c r="AB32" s="3"/>
    </row>
    <row r="33" spans="18:28" ht="18.75" customHeight="1">
      <c r="R33" s="4"/>
      <c r="V33" t="s">
        <v>5</v>
      </c>
      <c r="X33" t="s">
        <v>30</v>
      </c>
      <c r="Y33" t="s">
        <v>9</v>
      </c>
      <c r="AB33" s="5"/>
    </row>
    <row r="34" spans="18:28" ht="18.75" customHeight="1">
      <c r="R34" s="6"/>
      <c r="S34" s="7"/>
      <c r="T34" s="7"/>
      <c r="U34" s="7"/>
      <c r="V34" s="7" t="s">
        <v>8</v>
      </c>
      <c r="W34" s="7"/>
      <c r="X34" s="7"/>
      <c r="Y34" s="7" t="s">
        <v>14</v>
      </c>
      <c r="Z34" s="7"/>
      <c r="AA34" s="7"/>
      <c r="AB34" s="8"/>
    </row>
  </sheetData>
  <phoneticPr fontId="15"/>
  <hyperlinks>
    <hyperlink ref="A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62"/>
  <sheetViews>
    <sheetView workbookViewId="0"/>
  </sheetViews>
  <sheetFormatPr defaultRowHeight="18.75"/>
  <cols>
    <col min="1" max="1" width="25.25" style="27" customWidth="1"/>
    <col min="2" max="2" width="10.75" style="27" customWidth="1"/>
  </cols>
  <sheetData>
    <row r="3" spans="1:2">
      <c r="A3" t="s">
        <v>31</v>
      </c>
    </row>
    <row r="4" spans="1:2">
      <c r="A4" t="s">
        <v>32</v>
      </c>
    </row>
    <row r="6" spans="1:2">
      <c r="A6" t="s">
        <v>33</v>
      </c>
    </row>
    <row r="8" spans="1:2">
      <c r="A8" t="s">
        <v>34</v>
      </c>
    </row>
    <row r="10" spans="1:2">
      <c r="A10" t="s">
        <v>35</v>
      </c>
    </row>
    <row r="12" spans="1:2">
      <c r="A12" t="s">
        <v>36</v>
      </c>
      <c r="B12" t="s">
        <v>37</v>
      </c>
    </row>
    <row r="13" spans="1:2">
      <c r="A13" t="s">
        <v>38</v>
      </c>
      <c r="B13" t="s">
        <v>39</v>
      </c>
    </row>
    <row r="14" spans="1:2">
      <c r="A14" t="s">
        <v>40</v>
      </c>
      <c r="B14" t="s">
        <v>41</v>
      </c>
    </row>
    <row r="15" spans="1:2">
      <c r="A15" t="s">
        <v>42</v>
      </c>
      <c r="B15" t="s">
        <v>43</v>
      </c>
    </row>
    <row r="16" spans="1:2">
      <c r="A16" t="s">
        <v>44</v>
      </c>
      <c r="B16" t="s">
        <v>45</v>
      </c>
    </row>
    <row r="17" spans="1:4">
      <c r="A17" t="s">
        <v>46</v>
      </c>
      <c r="B17" t="s">
        <v>47</v>
      </c>
    </row>
    <row r="18" spans="1:4">
      <c r="A18" t="s">
        <v>48</v>
      </c>
      <c r="B18">
        <v>85</v>
      </c>
      <c r="C18">
        <v>80</v>
      </c>
      <c r="D18">
        <v>50</v>
      </c>
    </row>
    <row r="19" spans="1:4">
      <c r="A19" t="s">
        <v>49</v>
      </c>
      <c r="B19" t="s">
        <v>50</v>
      </c>
    </row>
    <row r="20" spans="1:4">
      <c r="B20" s="18" t="s">
        <v>51</v>
      </c>
    </row>
    <row r="23" spans="1:4">
      <c r="A23" t="s">
        <v>52</v>
      </c>
    </row>
    <row r="25" spans="1:4">
      <c r="A25" t="s">
        <v>36</v>
      </c>
      <c r="B25" t="s">
        <v>53</v>
      </c>
    </row>
    <row r="26" spans="1:4">
      <c r="A26" t="s">
        <v>38</v>
      </c>
      <c r="B26" t="s">
        <v>54</v>
      </c>
    </row>
    <row r="27" spans="1:4">
      <c r="A27" t="s">
        <v>40</v>
      </c>
      <c r="B27" t="s">
        <v>55</v>
      </c>
    </row>
    <row r="28" spans="1:4">
      <c r="A28" t="s">
        <v>42</v>
      </c>
      <c r="B28" t="s">
        <v>56</v>
      </c>
    </row>
    <row r="29" spans="1:4">
      <c r="A29" t="s">
        <v>44</v>
      </c>
      <c r="B29" t="s">
        <v>57</v>
      </c>
    </row>
    <row r="30" spans="1:4">
      <c r="A30" t="s">
        <v>46</v>
      </c>
      <c r="B30" t="s">
        <v>58</v>
      </c>
    </row>
    <row r="31" spans="1:4">
      <c r="A31" t="s">
        <v>48</v>
      </c>
      <c r="B31">
        <v>85</v>
      </c>
      <c r="C31">
        <v>80</v>
      </c>
      <c r="D31">
        <v>80</v>
      </c>
    </row>
    <row r="32" spans="1:4">
      <c r="A32" t="s">
        <v>49</v>
      </c>
      <c r="B32" t="s">
        <v>59</v>
      </c>
    </row>
    <row r="33" spans="1:4">
      <c r="B33" t="s">
        <v>60</v>
      </c>
    </row>
    <row r="36" spans="1:4">
      <c r="A36" t="s">
        <v>61</v>
      </c>
    </row>
    <row r="38" spans="1:4">
      <c r="A38" t="s">
        <v>36</v>
      </c>
      <c r="B38" t="s">
        <v>62</v>
      </c>
    </row>
    <row r="39" spans="1:4">
      <c r="A39" t="s">
        <v>38</v>
      </c>
      <c r="B39" t="s">
        <v>54</v>
      </c>
    </row>
    <row r="40" spans="1:4">
      <c r="A40" t="s">
        <v>40</v>
      </c>
      <c r="B40" t="s">
        <v>56</v>
      </c>
    </row>
    <row r="41" spans="1:4">
      <c r="A41" t="s">
        <v>42</v>
      </c>
    </row>
    <row r="42" spans="1:4">
      <c r="A42" t="s">
        <v>44</v>
      </c>
      <c r="B42" t="s">
        <v>63</v>
      </c>
    </row>
    <row r="43" spans="1:4">
      <c r="A43" t="s">
        <v>46</v>
      </c>
    </row>
    <row r="44" spans="1:4">
      <c r="A44" t="s">
        <v>48</v>
      </c>
      <c r="B44">
        <v>85</v>
      </c>
      <c r="C44">
        <v>80</v>
      </c>
      <c r="D44">
        <v>70</v>
      </c>
    </row>
    <row r="45" spans="1:4">
      <c r="A45" t="s">
        <v>49</v>
      </c>
      <c r="B45" t="s">
        <v>64</v>
      </c>
    </row>
    <row r="46" spans="1:4">
      <c r="B46" t="s">
        <v>65</v>
      </c>
    </row>
    <row r="47" spans="1:4">
      <c r="B47" t="s">
        <v>60</v>
      </c>
    </row>
    <row r="49" spans="1:2">
      <c r="A49" t="s">
        <v>66</v>
      </c>
      <c r="B49" t="s">
        <v>67</v>
      </c>
    </row>
    <row r="51" spans="1:2">
      <c r="A51" t="s">
        <v>36</v>
      </c>
    </row>
    <row r="52" spans="1:2">
      <c r="A52" t="s">
        <v>38</v>
      </c>
    </row>
    <row r="53" spans="1:2">
      <c r="A53" t="s">
        <v>40</v>
      </c>
    </row>
    <row r="54" spans="1:2">
      <c r="A54" t="s">
        <v>42</v>
      </c>
    </row>
    <row r="55" spans="1:2">
      <c r="A55" t="s">
        <v>44</v>
      </c>
    </row>
    <row r="56" spans="1:2">
      <c r="A56" t="s">
        <v>46</v>
      </c>
    </row>
    <row r="57" spans="1:2">
      <c r="A57" t="s">
        <v>68</v>
      </c>
    </row>
    <row r="58" spans="1:2">
      <c r="A58" t="s">
        <v>49</v>
      </c>
    </row>
    <row r="60" spans="1:2">
      <c r="A60" t="s">
        <v>69</v>
      </c>
    </row>
    <row r="62" spans="1:2">
      <c r="A62" t="s">
        <v>36</v>
      </c>
      <c r="B62" t="s">
        <v>70</v>
      </c>
    </row>
    <row r="63" spans="1:2">
      <c r="A63" t="s">
        <v>38</v>
      </c>
    </row>
    <row r="64" spans="1:2">
      <c r="A64" t="s">
        <v>40</v>
      </c>
      <c r="B64" t="s">
        <v>47</v>
      </c>
    </row>
    <row r="65" spans="1:4">
      <c r="A65" t="s">
        <v>42</v>
      </c>
    </row>
    <row r="66" spans="1:4">
      <c r="A66" t="s">
        <v>44</v>
      </c>
    </row>
    <row r="67" spans="1:4">
      <c r="A67" t="s">
        <v>46</v>
      </c>
      <c r="B67" t="s">
        <v>71</v>
      </c>
    </row>
    <row r="68" spans="1:4">
      <c r="A68" t="s">
        <v>72</v>
      </c>
      <c r="B68">
        <v>45</v>
      </c>
      <c r="C68">
        <v>43</v>
      </c>
      <c r="D68" t="s">
        <v>73</v>
      </c>
    </row>
    <row r="69" spans="1:4">
      <c r="A69" t="s">
        <v>49</v>
      </c>
      <c r="B69" t="s">
        <v>74</v>
      </c>
    </row>
    <row r="71" spans="1:4">
      <c r="A71" t="s">
        <v>75</v>
      </c>
      <c r="B71" t="s">
        <v>76</v>
      </c>
    </row>
    <row r="72" spans="1:4">
      <c r="B72" t="s">
        <v>77</v>
      </c>
    </row>
    <row r="73" spans="1:4">
      <c r="A73" t="s">
        <v>36</v>
      </c>
      <c r="B73" t="s">
        <v>70</v>
      </c>
    </row>
    <row r="74" spans="1:4">
      <c r="A74" t="s">
        <v>38</v>
      </c>
    </row>
    <row r="75" spans="1:4">
      <c r="A75" t="s">
        <v>40</v>
      </c>
    </row>
    <row r="76" spans="1:4">
      <c r="A76" t="s">
        <v>42</v>
      </c>
      <c r="B76" t="s">
        <v>71</v>
      </c>
    </row>
    <row r="77" spans="1:4">
      <c r="A77" t="s">
        <v>44</v>
      </c>
    </row>
    <row r="78" spans="1:4">
      <c r="A78" t="s">
        <v>46</v>
      </c>
      <c r="B78" t="s">
        <v>71</v>
      </c>
    </row>
    <row r="79" spans="1:4">
      <c r="A79" t="s">
        <v>72</v>
      </c>
      <c r="B79">
        <v>47</v>
      </c>
      <c r="C79">
        <v>62</v>
      </c>
      <c r="D79">
        <v>46</v>
      </c>
    </row>
    <row r="80" spans="1:4">
      <c r="A80" t="s">
        <v>49</v>
      </c>
      <c r="B80" t="s">
        <v>78</v>
      </c>
    </row>
    <row r="84" spans="1:4">
      <c r="A84" t="s">
        <v>79</v>
      </c>
    </row>
    <row r="86" spans="1:4">
      <c r="A86" t="s">
        <v>36</v>
      </c>
      <c r="B86" t="s">
        <v>80</v>
      </c>
    </row>
    <row r="87" spans="1:4">
      <c r="A87" t="s">
        <v>38</v>
      </c>
      <c r="B87" t="s">
        <v>81</v>
      </c>
      <c r="C87" t="s">
        <v>82</v>
      </c>
    </row>
    <row r="88" spans="1:4">
      <c r="A88" t="s">
        <v>40</v>
      </c>
      <c r="B88" t="s">
        <v>83</v>
      </c>
    </row>
    <row r="89" spans="1:4">
      <c r="A89" t="s">
        <v>42</v>
      </c>
    </row>
    <row r="90" spans="1:4">
      <c r="A90" t="s">
        <v>44</v>
      </c>
    </row>
    <row r="91" spans="1:4">
      <c r="A91" t="s">
        <v>46</v>
      </c>
    </row>
    <row r="92" spans="1:4">
      <c r="A92" t="s">
        <v>72</v>
      </c>
    </row>
    <row r="93" spans="1:4">
      <c r="A93" t="s">
        <v>49</v>
      </c>
      <c r="B93" t="s">
        <v>84</v>
      </c>
    </row>
    <row r="94" spans="1:4">
      <c r="A94" t="s">
        <v>72</v>
      </c>
      <c r="B94">
        <v>50</v>
      </c>
      <c r="C94">
        <v>168</v>
      </c>
      <c r="D94" t="s">
        <v>85</v>
      </c>
    </row>
    <row r="95" spans="1:4">
      <c r="A95" s="19" t="s">
        <v>49</v>
      </c>
    </row>
    <row r="98" spans="1:1">
      <c r="A98" t="s">
        <v>86</v>
      </c>
    </row>
    <row r="100" spans="1:1">
      <c r="A100" t="s">
        <v>36</v>
      </c>
    </row>
    <row r="101" spans="1:1">
      <c r="A101" t="s">
        <v>38</v>
      </c>
    </row>
    <row r="102" spans="1:1">
      <c r="A102" t="s">
        <v>40</v>
      </c>
    </row>
    <row r="103" spans="1:1">
      <c r="A103" t="s">
        <v>42</v>
      </c>
    </row>
    <row r="104" spans="1:1">
      <c r="A104" t="s">
        <v>44</v>
      </c>
    </row>
    <row r="105" spans="1:1">
      <c r="A105" t="s">
        <v>46</v>
      </c>
    </row>
    <row r="106" spans="1:1">
      <c r="A106" t="s">
        <v>72</v>
      </c>
    </row>
    <row r="107" spans="1:1">
      <c r="A107" t="s">
        <v>49</v>
      </c>
    </row>
    <row r="108" spans="1:1">
      <c r="A108" t="s">
        <v>72</v>
      </c>
    </row>
    <row r="109" spans="1:1">
      <c r="A109" s="19" t="s">
        <v>49</v>
      </c>
    </row>
    <row r="110" spans="1:1">
      <c r="A110" s="19"/>
    </row>
    <row r="111" spans="1:1">
      <c r="A111" s="19"/>
    </row>
    <row r="112" spans="1:1">
      <c r="A112" t="s">
        <v>87</v>
      </c>
    </row>
    <row r="114" spans="1:2">
      <c r="A114" t="s">
        <v>36</v>
      </c>
      <c r="B114" t="s">
        <v>88</v>
      </c>
    </row>
    <row r="115" spans="1:2">
      <c r="A115" t="s">
        <v>38</v>
      </c>
    </row>
    <row r="116" spans="1:2">
      <c r="A116" t="s">
        <v>40</v>
      </c>
    </row>
    <row r="117" spans="1:2">
      <c r="A117" t="s">
        <v>42</v>
      </c>
    </row>
    <row r="118" spans="1:2">
      <c r="A118" t="s">
        <v>44</v>
      </c>
    </row>
    <row r="119" spans="1:2">
      <c r="A119" t="s">
        <v>46</v>
      </c>
    </row>
    <row r="120" spans="1:2">
      <c r="A120" t="s">
        <v>72</v>
      </c>
    </row>
    <row r="121" spans="1:2">
      <c r="A121" t="s">
        <v>49</v>
      </c>
    </row>
    <row r="122" spans="1:2">
      <c r="A122" t="s">
        <v>72</v>
      </c>
    </row>
    <row r="123" spans="1:2">
      <c r="A123" s="19" t="s">
        <v>49</v>
      </c>
    </row>
    <row r="124" spans="1:2">
      <c r="A124" s="19"/>
    </row>
    <row r="125" spans="1:2">
      <c r="A125" s="19"/>
    </row>
    <row r="126" spans="1:2">
      <c r="A126" s="19"/>
    </row>
    <row r="127" spans="1:2">
      <c r="A127" s="19"/>
    </row>
    <row r="128" spans="1:2">
      <c r="A128" t="s">
        <v>69</v>
      </c>
    </row>
    <row r="130" spans="1:2">
      <c r="A130" t="s">
        <v>36</v>
      </c>
      <c r="B130" t="s">
        <v>88</v>
      </c>
    </row>
    <row r="131" spans="1:2">
      <c r="A131" t="s">
        <v>38</v>
      </c>
    </row>
    <row r="132" spans="1:2">
      <c r="A132" t="s">
        <v>40</v>
      </c>
    </row>
    <row r="133" spans="1:2">
      <c r="A133" t="s">
        <v>42</v>
      </c>
    </row>
    <row r="134" spans="1:2">
      <c r="A134" t="s">
        <v>44</v>
      </c>
    </row>
    <row r="135" spans="1:2">
      <c r="A135" t="s">
        <v>46</v>
      </c>
    </row>
    <row r="136" spans="1:2">
      <c r="A136" t="s">
        <v>72</v>
      </c>
    </row>
    <row r="137" spans="1:2">
      <c r="A137" t="s">
        <v>49</v>
      </c>
    </row>
    <row r="138" spans="1:2">
      <c r="A138" t="s">
        <v>72</v>
      </c>
    </row>
    <row r="139" spans="1:2">
      <c r="A139" s="19" t="s">
        <v>49</v>
      </c>
    </row>
    <row r="143" spans="1:2">
      <c r="A143" t="s">
        <v>89</v>
      </c>
    </row>
    <row r="144" spans="1:2">
      <c r="A144" t="s">
        <v>90</v>
      </c>
    </row>
    <row r="146" spans="1:1">
      <c r="A146" t="s">
        <v>91</v>
      </c>
    </row>
    <row r="147" spans="1:1">
      <c r="A147" t="s">
        <v>92</v>
      </c>
    </row>
    <row r="149" spans="1:1">
      <c r="A149" t="s">
        <v>93</v>
      </c>
    </row>
    <row r="150" spans="1:1">
      <c r="A150" t="s">
        <v>94</v>
      </c>
    </row>
    <row r="152" spans="1:1">
      <c r="A152" t="s">
        <v>95</v>
      </c>
    </row>
    <row r="154" spans="1:1">
      <c r="A154" t="s">
        <v>96</v>
      </c>
    </row>
    <row r="156" spans="1:1">
      <c r="A156" t="s">
        <v>97</v>
      </c>
    </row>
    <row r="158" spans="1:1">
      <c r="A158" t="s">
        <v>98</v>
      </c>
    </row>
    <row r="160" spans="1:1">
      <c r="A160" t="s">
        <v>95</v>
      </c>
    </row>
    <row r="161" spans="1:1">
      <c r="A161" t="s">
        <v>99</v>
      </c>
    </row>
    <row r="162" spans="1:1">
      <c r="A162" t="s">
        <v>100</v>
      </c>
    </row>
  </sheetData>
  <phoneticPr fontId="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144"/>
  <sheetViews>
    <sheetView workbookViewId="0"/>
  </sheetViews>
  <sheetFormatPr defaultRowHeight="18.75"/>
  <cols>
    <col min="1" max="1" width="20.625" style="27" customWidth="1"/>
  </cols>
  <sheetData>
    <row r="3" spans="1:1">
      <c r="A3" t="s">
        <v>101</v>
      </c>
    </row>
    <row r="4" spans="1:1">
      <c r="A4" t="s">
        <v>102</v>
      </c>
    </row>
    <row r="6" spans="1:1">
      <c r="A6" t="s">
        <v>33</v>
      </c>
    </row>
    <row r="8" spans="1:1">
      <c r="A8" t="s">
        <v>103</v>
      </c>
    </row>
    <row r="10" spans="1:1">
      <c r="A10" t="s">
        <v>104</v>
      </c>
    </row>
    <row r="11" spans="1:1">
      <c r="A11" t="s">
        <v>105</v>
      </c>
    </row>
    <row r="12" spans="1:1">
      <c r="A12" t="s">
        <v>106</v>
      </c>
    </row>
    <row r="13" spans="1:1">
      <c r="A13" t="s">
        <v>107</v>
      </c>
    </row>
    <row r="17" spans="1:4">
      <c r="A17" t="s">
        <v>108</v>
      </c>
    </row>
    <row r="19" spans="1:4">
      <c r="A19" t="s">
        <v>109</v>
      </c>
    </row>
    <row r="20" spans="1:4">
      <c r="A20" t="s">
        <v>110</v>
      </c>
      <c r="B20" s="18" t="s">
        <v>111</v>
      </c>
    </row>
    <row r="21" spans="1:4">
      <c r="A21" t="s">
        <v>112</v>
      </c>
      <c r="B21" t="s">
        <v>113</v>
      </c>
    </row>
    <row r="22" spans="1:4">
      <c r="A22" t="s">
        <v>114</v>
      </c>
      <c r="B22" t="s">
        <v>113</v>
      </c>
      <c r="D22" s="18"/>
    </row>
    <row r="23" spans="1:4">
      <c r="A23" t="s">
        <v>115</v>
      </c>
      <c r="B23" t="s">
        <v>116</v>
      </c>
    </row>
    <row r="24" spans="1:4">
      <c r="A24" t="s">
        <v>117</v>
      </c>
      <c r="B24" t="s">
        <v>113</v>
      </c>
    </row>
    <row r="25" spans="1:4">
      <c r="A25" t="s">
        <v>118</v>
      </c>
      <c r="B25" t="s">
        <v>119</v>
      </c>
    </row>
    <row r="27" spans="1:4">
      <c r="A27" t="s">
        <v>120</v>
      </c>
      <c r="C27" t="s">
        <v>121</v>
      </c>
    </row>
    <row r="28" spans="1:4">
      <c r="A28" t="s">
        <v>122</v>
      </c>
      <c r="C28" t="s">
        <v>123</v>
      </c>
    </row>
    <row r="29" spans="1:4">
      <c r="A29" t="s">
        <v>124</v>
      </c>
      <c r="C29" t="s">
        <v>125</v>
      </c>
    </row>
    <row r="30" spans="1:4">
      <c r="A30" t="s">
        <v>126</v>
      </c>
      <c r="D30" t="s">
        <v>127</v>
      </c>
    </row>
    <row r="32" spans="1:4">
      <c r="A32" t="s">
        <v>128</v>
      </c>
    </row>
    <row r="33" spans="1:5">
      <c r="A33" t="s">
        <v>129</v>
      </c>
      <c r="B33" t="s">
        <v>130</v>
      </c>
    </row>
    <row r="34" spans="1:5">
      <c r="A34" t="s">
        <v>131</v>
      </c>
      <c r="B34" t="s">
        <v>132</v>
      </c>
      <c r="C34" t="s">
        <v>133</v>
      </c>
      <c r="D34" t="s">
        <v>134</v>
      </c>
    </row>
    <row r="35" spans="1:5">
      <c r="A35" t="s">
        <v>135</v>
      </c>
      <c r="B35" t="s">
        <v>136</v>
      </c>
    </row>
    <row r="37" spans="1:5">
      <c r="A37" t="s">
        <v>137</v>
      </c>
      <c r="E37" t="s">
        <v>138</v>
      </c>
    </row>
    <row r="38" spans="1:5">
      <c r="A38" t="s">
        <v>139</v>
      </c>
    </row>
    <row r="40" spans="1:5">
      <c r="A40" t="s">
        <v>140</v>
      </c>
    </row>
    <row r="41" spans="1:5">
      <c r="A41" t="s">
        <v>141</v>
      </c>
      <c r="E41" t="s">
        <v>142</v>
      </c>
    </row>
    <row r="45" spans="1:5">
      <c r="A45" t="s">
        <v>143</v>
      </c>
    </row>
    <row r="47" spans="1:5">
      <c r="A47" t="s">
        <v>109</v>
      </c>
    </row>
    <row r="48" spans="1:5">
      <c r="A48" t="s">
        <v>110</v>
      </c>
      <c r="B48" t="s">
        <v>113</v>
      </c>
    </row>
    <row r="49" spans="1:4">
      <c r="A49" t="s">
        <v>112</v>
      </c>
      <c r="B49" t="s">
        <v>113</v>
      </c>
    </row>
    <row r="50" spans="1:4">
      <c r="A50" t="s">
        <v>114</v>
      </c>
      <c r="B50" t="s">
        <v>113</v>
      </c>
    </row>
    <row r="51" spans="1:4">
      <c r="A51" t="s">
        <v>115</v>
      </c>
      <c r="B51" t="s">
        <v>113</v>
      </c>
    </row>
    <row r="52" spans="1:4">
      <c r="A52" t="s">
        <v>117</v>
      </c>
      <c r="B52" t="s">
        <v>113</v>
      </c>
    </row>
    <row r="53" spans="1:4">
      <c r="A53" t="s">
        <v>118</v>
      </c>
      <c r="B53" t="s">
        <v>113</v>
      </c>
    </row>
    <row r="55" spans="1:4">
      <c r="A55" t="s">
        <v>120</v>
      </c>
      <c r="C55" t="s">
        <v>17</v>
      </c>
    </row>
    <row r="56" spans="1:4">
      <c r="A56" t="s">
        <v>122</v>
      </c>
      <c r="C56" t="s">
        <v>123</v>
      </c>
    </row>
    <row r="57" spans="1:4">
      <c r="A57" t="s">
        <v>124</v>
      </c>
      <c r="C57" t="s">
        <v>144</v>
      </c>
    </row>
    <row r="58" spans="1:4">
      <c r="A58" t="s">
        <v>126</v>
      </c>
      <c r="D58" t="s">
        <v>145</v>
      </c>
    </row>
    <row r="60" spans="1:4">
      <c r="A60" t="s">
        <v>128</v>
      </c>
    </row>
    <row r="61" spans="1:4">
      <c r="A61" t="s">
        <v>146</v>
      </c>
      <c r="B61" t="s">
        <v>147</v>
      </c>
    </row>
    <row r="62" spans="1:4">
      <c r="A62" t="s">
        <v>131</v>
      </c>
      <c r="B62" t="s">
        <v>148</v>
      </c>
    </row>
    <row r="63" spans="1:4">
      <c r="A63" t="s">
        <v>135</v>
      </c>
      <c r="B63" t="s">
        <v>147</v>
      </c>
    </row>
    <row r="65" spans="1:5">
      <c r="A65" t="s">
        <v>137</v>
      </c>
      <c r="E65" t="s">
        <v>149</v>
      </c>
    </row>
    <row r="66" spans="1:5">
      <c r="A66" t="s">
        <v>139</v>
      </c>
    </row>
    <row r="68" spans="1:5">
      <c r="A68" t="s">
        <v>140</v>
      </c>
    </row>
    <row r="69" spans="1:5">
      <c r="A69" t="s">
        <v>141</v>
      </c>
      <c r="E69" t="s">
        <v>150</v>
      </c>
    </row>
    <row r="72" spans="1:5">
      <c r="A72" t="s">
        <v>151</v>
      </c>
    </row>
    <row r="74" spans="1:5">
      <c r="A74" t="s">
        <v>109</v>
      </c>
    </row>
    <row r="75" spans="1:5">
      <c r="A75" t="s">
        <v>110</v>
      </c>
      <c r="B75" t="s">
        <v>152</v>
      </c>
    </row>
    <row r="76" spans="1:5">
      <c r="A76" t="s">
        <v>112</v>
      </c>
    </row>
    <row r="77" spans="1:5">
      <c r="A77" t="s">
        <v>114</v>
      </c>
      <c r="B77" t="s">
        <v>113</v>
      </c>
    </row>
    <row r="78" spans="1:5">
      <c r="A78" t="s">
        <v>115</v>
      </c>
      <c r="B78" t="s">
        <v>113</v>
      </c>
    </row>
    <row r="79" spans="1:5">
      <c r="A79" t="s">
        <v>117</v>
      </c>
    </row>
    <row r="80" spans="1:5">
      <c r="A80" t="s">
        <v>118</v>
      </c>
    </row>
    <row r="82" spans="1:5">
      <c r="A82" t="s">
        <v>120</v>
      </c>
      <c r="C82" t="s">
        <v>53</v>
      </c>
    </row>
    <row r="83" spans="1:5">
      <c r="A83" t="s">
        <v>122</v>
      </c>
      <c r="C83" t="s">
        <v>153</v>
      </c>
    </row>
    <row r="84" spans="1:5">
      <c r="A84" t="s">
        <v>124</v>
      </c>
      <c r="C84" t="s">
        <v>154</v>
      </c>
    </row>
    <row r="85" spans="1:5">
      <c r="A85" t="s">
        <v>126</v>
      </c>
      <c r="D85" t="s">
        <v>155</v>
      </c>
    </row>
    <row r="87" spans="1:5">
      <c r="A87" t="s">
        <v>128</v>
      </c>
    </row>
    <row r="88" spans="1:5">
      <c r="A88" t="s">
        <v>146</v>
      </c>
      <c r="B88" t="s">
        <v>132</v>
      </c>
    </row>
    <row r="89" spans="1:5">
      <c r="A89" t="s">
        <v>131</v>
      </c>
      <c r="B89" t="s">
        <v>134</v>
      </c>
    </row>
    <row r="90" spans="1:5">
      <c r="A90" t="s">
        <v>135</v>
      </c>
      <c r="B90" t="s">
        <v>156</v>
      </c>
    </row>
    <row r="92" spans="1:5">
      <c r="A92" t="s">
        <v>137</v>
      </c>
      <c r="E92" t="s">
        <v>157</v>
      </c>
    </row>
    <row r="93" spans="1:5">
      <c r="A93" t="s">
        <v>139</v>
      </c>
    </row>
    <row r="95" spans="1:5">
      <c r="A95" t="s">
        <v>140</v>
      </c>
      <c r="C95" t="s">
        <v>158</v>
      </c>
    </row>
    <row r="96" spans="1:5">
      <c r="A96" t="s">
        <v>141</v>
      </c>
    </row>
    <row r="98" spans="1:1">
      <c r="A98" t="s">
        <v>159</v>
      </c>
    </row>
    <row r="100" spans="1:1">
      <c r="A100" t="s">
        <v>160</v>
      </c>
    </row>
    <row r="101" spans="1:1">
      <c r="A101" t="s">
        <v>161</v>
      </c>
    </row>
    <row r="102" spans="1:1">
      <c r="A102" t="s">
        <v>162</v>
      </c>
    </row>
    <row r="126" spans="2:2">
      <c r="B126" s="18"/>
    </row>
    <row r="130" spans="2:3">
      <c r="C130" s="19"/>
    </row>
    <row r="141" spans="2:3">
      <c r="B141" s="18"/>
    </row>
    <row r="144" spans="2:3">
      <c r="C144" s="19"/>
    </row>
  </sheetData>
  <phoneticPr fontId="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B181"/>
  <sheetViews>
    <sheetView workbookViewId="0"/>
  </sheetViews>
  <sheetFormatPr defaultRowHeight="18.75"/>
  <sheetData>
    <row r="3" spans="2:2">
      <c r="B3" s="20"/>
    </row>
    <row r="4" spans="2:2">
      <c r="B4" s="23"/>
    </row>
    <row r="5" spans="2:2">
      <c r="B5" s="20"/>
    </row>
    <row r="6" spans="2:2">
      <c r="B6" s="21"/>
    </row>
    <row r="7" spans="2:2">
      <c r="B7" s="20"/>
    </row>
    <row r="8" spans="2:2">
      <c r="B8" s="22"/>
    </row>
    <row r="9" spans="2:2">
      <c r="B9" s="21"/>
    </row>
    <row r="10" spans="2:2">
      <c r="B10" s="21"/>
    </row>
    <row r="11" spans="2:2">
      <c r="B11" s="21"/>
    </row>
    <row r="12" spans="2:2">
      <c r="B12" s="22"/>
    </row>
    <row r="13" spans="2:2">
      <c r="B13" s="22"/>
    </row>
    <row r="14" spans="2:2">
      <c r="B14" s="22"/>
    </row>
    <row r="15" spans="2:2">
      <c r="B15" s="20"/>
    </row>
    <row r="16" spans="2:2">
      <c r="B16" s="22"/>
    </row>
    <row r="17" spans="2:2">
      <c r="B17" s="21"/>
    </row>
    <row r="18" spans="2:2">
      <c r="B18" s="22"/>
    </row>
    <row r="19" spans="2:2">
      <c r="B19" s="21"/>
    </row>
    <row r="20" spans="2:2">
      <c r="B20" s="21"/>
    </row>
    <row r="21" spans="2:2">
      <c r="B21" s="21"/>
    </row>
    <row r="22" spans="2:2">
      <c r="B22" s="21"/>
    </row>
    <row r="23" spans="2:2">
      <c r="B23" s="21"/>
    </row>
    <row r="24" spans="2:2">
      <c r="B24" s="22"/>
    </row>
    <row r="25" spans="2:2">
      <c r="B25" s="21"/>
    </row>
    <row r="26" spans="2:2">
      <c r="B26" s="22"/>
    </row>
    <row r="27" spans="2:2">
      <c r="B27" s="21"/>
    </row>
    <row r="28" spans="2:2">
      <c r="B28" s="21"/>
    </row>
    <row r="29" spans="2:2">
      <c r="B29" s="21"/>
    </row>
    <row r="30" spans="2:2">
      <c r="B30" s="21"/>
    </row>
    <row r="31" spans="2:2">
      <c r="B31" s="21"/>
    </row>
    <row r="32" spans="2:2">
      <c r="B32" s="21"/>
    </row>
    <row r="33" spans="2:2">
      <c r="B33" s="20"/>
    </row>
    <row r="34" spans="2:2">
      <c r="B34" s="21"/>
    </row>
    <row r="35" spans="2:2">
      <c r="B35" s="21"/>
    </row>
    <row r="39" spans="2:2">
      <c r="B39" s="20"/>
    </row>
    <row r="40" spans="2:2">
      <c r="B40" s="22"/>
    </row>
    <row r="41" spans="2:2">
      <c r="B41" s="21"/>
    </row>
    <row r="42" spans="2:2">
      <c r="B42" s="21"/>
    </row>
    <row r="43" spans="2:2">
      <c r="B43" s="21"/>
    </row>
    <row r="44" spans="2:2">
      <c r="B44" s="21"/>
    </row>
    <row r="45" spans="2:2">
      <c r="B45" s="22"/>
    </row>
    <row r="46" spans="2:2">
      <c r="B46" s="21"/>
    </row>
    <row r="47" spans="2:2">
      <c r="B47" s="21"/>
    </row>
    <row r="48" spans="2:2">
      <c r="B48" s="20"/>
    </row>
    <row r="49" spans="2:2">
      <c r="B49" s="22"/>
    </row>
    <row r="50" spans="2:2">
      <c r="B50" s="21"/>
    </row>
    <row r="51" spans="2:2">
      <c r="B51" s="21"/>
    </row>
    <row r="52" spans="2:2">
      <c r="B52" s="21"/>
    </row>
    <row r="53" spans="2:2">
      <c r="B53" s="21"/>
    </row>
    <row r="54" spans="2:2">
      <c r="B54" s="21"/>
    </row>
    <row r="55" spans="2:2">
      <c r="B55" s="21"/>
    </row>
    <row r="56" spans="2:2">
      <c r="B56" s="21"/>
    </row>
    <row r="57" spans="2:2">
      <c r="B57" s="21"/>
    </row>
    <row r="58" spans="2:2">
      <c r="B58" s="21"/>
    </row>
    <row r="59" spans="2:2">
      <c r="B59" s="21"/>
    </row>
    <row r="60" spans="2:2">
      <c r="B60" s="21"/>
    </row>
    <row r="61" spans="2:2">
      <c r="B61" s="21"/>
    </row>
    <row r="62" spans="2:2">
      <c r="B62" s="21"/>
    </row>
    <row r="63" spans="2:2">
      <c r="B63" s="21"/>
    </row>
    <row r="64" spans="2:2">
      <c r="B64" s="21"/>
    </row>
    <row r="65" spans="2:2">
      <c r="B65" s="22"/>
    </row>
    <row r="66" spans="2:2">
      <c r="B66" s="21"/>
    </row>
    <row r="67" spans="2:2">
      <c r="B67" s="21"/>
    </row>
    <row r="68" spans="2:2">
      <c r="B68" s="21"/>
    </row>
    <row r="69" spans="2:2">
      <c r="B69" s="21"/>
    </row>
    <row r="70" spans="2:2">
      <c r="B70" s="21"/>
    </row>
    <row r="71" spans="2:2">
      <c r="B71" s="21"/>
    </row>
    <row r="72" spans="2:2">
      <c r="B72" s="21"/>
    </row>
    <row r="73" spans="2:2">
      <c r="B73" s="21"/>
    </row>
    <row r="74" spans="2:2">
      <c r="B74" s="21"/>
    </row>
    <row r="75" spans="2:2">
      <c r="B75" s="21"/>
    </row>
    <row r="76" spans="2:2">
      <c r="B76" s="21"/>
    </row>
    <row r="77" spans="2:2">
      <c r="B77" s="21"/>
    </row>
    <row r="78" spans="2:2">
      <c r="B78" s="23"/>
    </row>
    <row r="79" spans="2:2">
      <c r="B79" s="21"/>
    </row>
    <row r="80" spans="2:2">
      <c r="B80" s="21"/>
    </row>
    <row r="81" spans="2:2">
      <c r="B81" s="21"/>
    </row>
    <row r="82" spans="2:2">
      <c r="B82" s="20"/>
    </row>
    <row r="83" spans="2:2">
      <c r="B83" s="22"/>
    </row>
    <row r="84" spans="2:2">
      <c r="B84" s="21"/>
    </row>
    <row r="85" spans="2:2">
      <c r="B85" s="21"/>
    </row>
    <row r="86" spans="2:2">
      <c r="B86" s="21"/>
    </row>
    <row r="87" spans="2:2">
      <c r="B87" s="21"/>
    </row>
    <row r="88" spans="2:2">
      <c r="B88" s="21"/>
    </row>
    <row r="89" spans="2:2">
      <c r="B89" s="21"/>
    </row>
    <row r="90" spans="2:2">
      <c r="B90" s="21"/>
    </row>
    <row r="91" spans="2:2">
      <c r="B91" s="22"/>
    </row>
    <row r="92" spans="2:2">
      <c r="B92" s="21"/>
    </row>
    <row r="93" spans="2:2">
      <c r="B93" s="21"/>
    </row>
    <row r="94" spans="2:2">
      <c r="B94" s="20"/>
    </row>
    <row r="95" spans="2:2">
      <c r="B95" s="22"/>
    </row>
    <row r="96" spans="2:2">
      <c r="B96" s="21"/>
    </row>
    <row r="97" spans="2:2">
      <c r="B97" s="21"/>
    </row>
    <row r="98" spans="2:2">
      <c r="B98" s="21"/>
    </row>
    <row r="99" spans="2:2">
      <c r="B99" s="21"/>
    </row>
    <row r="100" spans="2:2">
      <c r="B100" s="21"/>
    </row>
    <row r="101" spans="2:2">
      <c r="B101" s="22"/>
    </row>
    <row r="102" spans="2:2">
      <c r="B102" s="21"/>
    </row>
    <row r="103" spans="2:2">
      <c r="B103" s="21"/>
    </row>
    <row r="104" spans="2:2">
      <c r="B104" s="21"/>
    </row>
    <row r="105" spans="2:2">
      <c r="B105" s="21"/>
    </row>
    <row r="106" spans="2:2">
      <c r="B106" s="21"/>
    </row>
    <row r="107" spans="2:2">
      <c r="B107" s="20"/>
    </row>
    <row r="108" spans="2:2">
      <c r="B108" s="21"/>
    </row>
    <row r="109" spans="2:2">
      <c r="B109" s="21"/>
    </row>
    <row r="110" spans="2:2">
      <c r="B110" s="21"/>
    </row>
    <row r="113" spans="2:2">
      <c r="B113" s="20"/>
    </row>
    <row r="114" spans="2:2">
      <c r="B114" s="21"/>
    </row>
    <row r="115" spans="2:2">
      <c r="B115" s="20"/>
    </row>
    <row r="116" spans="2:2">
      <c r="B116" s="21"/>
    </row>
    <row r="117" spans="2:2">
      <c r="B117" s="21"/>
    </row>
    <row r="118" spans="2:2">
      <c r="B118" s="20"/>
    </row>
    <row r="119" spans="2:2">
      <c r="B119" s="21"/>
    </row>
    <row r="120" spans="2:2">
      <c r="B120" s="20"/>
    </row>
    <row r="121" spans="2:2">
      <c r="B121" s="21"/>
    </row>
    <row r="122" spans="2:2">
      <c r="B122" s="21"/>
    </row>
    <row r="123" spans="2:2">
      <c r="B123" s="21"/>
    </row>
    <row r="124" spans="2:2">
      <c r="B124" s="20"/>
    </row>
    <row r="125" spans="2:2">
      <c r="B125" s="21"/>
    </row>
    <row r="127" spans="2:2">
      <c r="B127" s="21"/>
    </row>
    <row r="128" spans="2:2">
      <c r="B128" s="21"/>
    </row>
    <row r="136" spans="2:2" ht="19.5" customHeight="1">
      <c r="B136" s="24"/>
    </row>
    <row r="137" spans="2:2">
      <c r="B137" s="20"/>
    </row>
    <row r="138" spans="2:2">
      <c r="B138" s="25"/>
    </row>
    <row r="139" spans="2:2">
      <c r="B139" s="20"/>
    </row>
    <row r="140" spans="2:2">
      <c r="B140" s="21"/>
    </row>
    <row r="141" spans="2:2">
      <c r="B141" s="23"/>
    </row>
    <row r="142" spans="2:2">
      <c r="B142" s="20"/>
    </row>
    <row r="143" spans="2:2">
      <c r="B143" s="21"/>
    </row>
    <row r="144" spans="2:2">
      <c r="B144" s="20"/>
    </row>
    <row r="145" spans="2:2">
      <c r="B145" s="21"/>
    </row>
    <row r="146" spans="2:2">
      <c r="B146" s="21"/>
    </row>
    <row r="147" spans="2:2">
      <c r="B147" s="21"/>
    </row>
    <row r="148" spans="2:2">
      <c r="B148" s="21"/>
    </row>
    <row r="149" spans="2:2">
      <c r="B149" s="20"/>
    </row>
    <row r="150" spans="2:2">
      <c r="B150" s="21"/>
    </row>
    <row r="151" spans="2:2">
      <c r="B151" s="21"/>
    </row>
    <row r="152" spans="2:2">
      <c r="B152" s="20"/>
    </row>
    <row r="153" spans="2:2">
      <c r="B153" s="21"/>
    </row>
    <row r="154" spans="2:2">
      <c r="B154" s="21"/>
    </row>
    <row r="155" spans="2:2">
      <c r="B155" s="20"/>
    </row>
    <row r="156" spans="2:2">
      <c r="B156" s="21"/>
    </row>
    <row r="157" spans="2:2">
      <c r="B157" s="20"/>
    </row>
    <row r="158" spans="2:2">
      <c r="B158" s="21"/>
    </row>
    <row r="159" spans="2:2">
      <c r="B159" s="21"/>
    </row>
    <row r="160" spans="2:2">
      <c r="B160" s="21"/>
    </row>
    <row r="161" spans="2:2">
      <c r="B161" s="26"/>
    </row>
    <row r="162" spans="2:2">
      <c r="B162" s="26"/>
    </row>
    <row r="163" spans="2:2">
      <c r="B163" s="26"/>
    </row>
    <row r="164" spans="2:2">
      <c r="B164" s="26"/>
    </row>
    <row r="165" spans="2:2">
      <c r="B165" s="26"/>
    </row>
    <row r="166" spans="2:2">
      <c r="B166" s="26"/>
    </row>
    <row r="167" spans="2:2">
      <c r="B167" s="20"/>
    </row>
    <row r="168" spans="2:2">
      <c r="B168" s="21"/>
    </row>
    <row r="169" spans="2:2">
      <c r="B169" s="21"/>
    </row>
    <row r="170" spans="2:2">
      <c r="B170" s="21"/>
    </row>
    <row r="173" spans="2:2">
      <c r="B173" s="20"/>
    </row>
    <row r="174" spans="2:2">
      <c r="B174" s="21"/>
    </row>
    <row r="175" spans="2:2">
      <c r="B175" s="21"/>
    </row>
    <row r="176" spans="2:2">
      <c r="B176" s="21"/>
    </row>
    <row r="177" spans="2:2">
      <c r="B177" s="21"/>
    </row>
    <row r="178" spans="2:2">
      <c r="B178" s="21"/>
    </row>
    <row r="179" spans="2:2">
      <c r="B179" s="21"/>
    </row>
    <row r="180" spans="2:2">
      <c r="B180" s="21"/>
    </row>
    <row r="181" spans="2:2">
      <c r="B181" s="21"/>
    </row>
  </sheetData>
  <phoneticPr fontId="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8.75"/>
  <cols>
    <col min="1" max="1" width="6.5" style="27" customWidth="1"/>
    <col min="2" max="2" width="17.25" style="27" customWidth="1"/>
    <col min="3" max="3" width="9.625" style="27" customWidth="1"/>
    <col min="4" max="4" width="9" style="27" customWidth="1"/>
    <col min="8" max="8" width="17.125" style="27" customWidth="1"/>
  </cols>
  <sheetData>
    <row r="1" spans="1:8">
      <c r="A1" t="s">
        <v>1329</v>
      </c>
      <c r="B1" t="s">
        <v>1330</v>
      </c>
      <c r="C1" t="s">
        <v>432</v>
      </c>
      <c r="D1" t="s">
        <v>1331</v>
      </c>
      <c r="E1" t="s">
        <v>1332</v>
      </c>
      <c r="F1" t="s">
        <v>435</v>
      </c>
      <c r="G1" t="s">
        <v>436</v>
      </c>
      <c r="H1" t="s">
        <v>437</v>
      </c>
    </row>
    <row r="2" spans="1:8">
      <c r="A2" t="s">
        <v>163</v>
      </c>
      <c r="B2" t="s">
        <v>164</v>
      </c>
      <c r="C2" t="s">
        <v>70</v>
      </c>
      <c r="H2" t="s">
        <v>165</v>
      </c>
    </row>
    <row r="3" spans="1:8">
      <c r="A3" t="s">
        <v>166</v>
      </c>
      <c r="B3" t="s">
        <v>167</v>
      </c>
      <c r="C3" t="s">
        <v>70</v>
      </c>
      <c r="H3" t="s">
        <v>165</v>
      </c>
    </row>
    <row r="4" spans="1:8">
      <c r="A4" t="s">
        <v>168</v>
      </c>
      <c r="B4" t="s">
        <v>169</v>
      </c>
      <c r="C4" t="s">
        <v>70</v>
      </c>
      <c r="H4" t="s">
        <v>165</v>
      </c>
    </row>
    <row r="5" spans="1:8">
      <c r="A5" t="s">
        <v>170</v>
      </c>
      <c r="B5" t="s">
        <v>171</v>
      </c>
      <c r="C5" t="s">
        <v>70</v>
      </c>
      <c r="H5" t="s">
        <v>165</v>
      </c>
    </row>
    <row r="6" spans="1:8">
      <c r="A6" t="s">
        <v>172</v>
      </c>
      <c r="B6" t="s">
        <v>173</v>
      </c>
      <c r="C6" t="s">
        <v>70</v>
      </c>
      <c r="H6" t="s">
        <v>165</v>
      </c>
    </row>
    <row r="7" spans="1:8">
      <c r="A7" t="s">
        <v>174</v>
      </c>
      <c r="B7" t="s">
        <v>175</v>
      </c>
      <c r="C7" t="s">
        <v>70</v>
      </c>
      <c r="H7" t="s">
        <v>165</v>
      </c>
    </row>
    <row r="8" spans="1:8">
      <c r="A8" t="s">
        <v>176</v>
      </c>
      <c r="B8" t="s">
        <v>18</v>
      </c>
      <c r="C8" t="s">
        <v>70</v>
      </c>
      <c r="D8"/>
      <c r="G8" t="s">
        <v>165</v>
      </c>
      <c r="H8"/>
    </row>
    <row r="9" spans="1:8">
      <c r="A9" t="s">
        <v>177</v>
      </c>
      <c r="B9" t="s">
        <v>178</v>
      </c>
      <c r="C9" t="s">
        <v>70</v>
      </c>
      <c r="D9"/>
      <c r="G9" t="s">
        <v>165</v>
      </c>
      <c r="H9"/>
    </row>
    <row r="10" spans="1:8">
      <c r="A10"/>
      <c r="B10"/>
      <c r="C10"/>
      <c r="D10"/>
      <c r="H10"/>
    </row>
    <row r="11" spans="1:8">
      <c r="A11"/>
      <c r="B11"/>
      <c r="C11"/>
      <c r="D11"/>
      <c r="H11"/>
    </row>
    <row r="12" spans="1:8">
      <c r="A12"/>
      <c r="B12"/>
      <c r="C12"/>
      <c r="D12"/>
      <c r="H12"/>
    </row>
    <row r="13" spans="1:8">
      <c r="A13"/>
      <c r="B13"/>
      <c r="C13"/>
      <c r="D13"/>
      <c r="H13"/>
    </row>
    <row r="14" spans="1:8">
      <c r="A14"/>
      <c r="B14"/>
      <c r="C14"/>
      <c r="D14"/>
      <c r="H14"/>
    </row>
    <row r="15" spans="1:8">
      <c r="A15"/>
      <c r="B15"/>
      <c r="C15"/>
      <c r="D15"/>
      <c r="H15"/>
    </row>
  </sheetData>
  <phoneticPr fontId="15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7"/>
  <sheetViews>
    <sheetView workbookViewId="0">
      <pane ySplit="1" topLeftCell="A2" activePane="bottomLeft" state="frozen"/>
      <selection pane="bottomLeft"/>
    </sheetView>
  </sheetViews>
  <sheetFormatPr defaultRowHeight="18.75"/>
  <cols>
    <col min="1" max="1" width="13.125" style="27" customWidth="1"/>
    <col min="2" max="2" width="14.75" style="27" customWidth="1"/>
    <col min="3" max="3" width="25.625" style="27" customWidth="1"/>
    <col min="4" max="4" width="11" style="27" customWidth="1"/>
    <col min="5" max="5" width="15.875" style="27" customWidth="1"/>
    <col min="8" max="8" width="29.75" style="27" customWidth="1"/>
  </cols>
  <sheetData>
    <row r="1" spans="1:8" ht="75" customHeight="1">
      <c r="A1" t="s">
        <v>1329</v>
      </c>
      <c r="B1" t="s">
        <v>1330</v>
      </c>
      <c r="C1" t="s">
        <v>432</v>
      </c>
      <c r="D1" t="s">
        <v>1331</v>
      </c>
      <c r="E1" t="s">
        <v>1332</v>
      </c>
      <c r="F1" s="28" t="s">
        <v>1462</v>
      </c>
      <c r="G1" s="28" t="s">
        <v>1463</v>
      </c>
      <c r="H1" t="s">
        <v>437</v>
      </c>
    </row>
    <row r="2" spans="1:8">
      <c r="A2" t="s">
        <v>163</v>
      </c>
      <c r="B2" t="s">
        <v>164</v>
      </c>
      <c r="C2" t="s">
        <v>179</v>
      </c>
      <c r="D2" t="s">
        <v>180</v>
      </c>
      <c r="E2" t="s">
        <v>181</v>
      </c>
      <c r="H2" t="s">
        <v>182</v>
      </c>
    </row>
    <row r="3" spans="1:8">
      <c r="A3" t="s">
        <v>163</v>
      </c>
      <c r="B3" t="s">
        <v>164</v>
      </c>
      <c r="C3" t="s">
        <v>179</v>
      </c>
      <c r="D3" t="s">
        <v>183</v>
      </c>
      <c r="E3" t="s">
        <v>184</v>
      </c>
      <c r="H3" t="s">
        <v>185</v>
      </c>
    </row>
    <row r="4" spans="1:8">
      <c r="A4" t="s">
        <v>163</v>
      </c>
      <c r="B4" t="s">
        <v>164</v>
      </c>
      <c r="C4" t="s">
        <v>179</v>
      </c>
      <c r="D4" t="s">
        <v>186</v>
      </c>
      <c r="E4" t="s">
        <v>187</v>
      </c>
      <c r="H4" t="s">
        <v>188</v>
      </c>
    </row>
    <row r="5" spans="1:8">
      <c r="A5" t="s">
        <v>163</v>
      </c>
      <c r="B5" t="s">
        <v>164</v>
      </c>
      <c r="C5" t="s">
        <v>179</v>
      </c>
      <c r="D5" t="s">
        <v>189</v>
      </c>
      <c r="E5" t="s">
        <v>190</v>
      </c>
      <c r="H5" t="s">
        <v>191</v>
      </c>
    </row>
    <row r="6" spans="1:8">
      <c r="A6" t="s">
        <v>163</v>
      </c>
      <c r="B6" t="s">
        <v>164</v>
      </c>
      <c r="C6" t="s">
        <v>179</v>
      </c>
      <c r="D6" t="s">
        <v>192</v>
      </c>
      <c r="E6" t="s">
        <v>193</v>
      </c>
      <c r="H6" t="s">
        <v>194</v>
      </c>
    </row>
    <row r="7" spans="1:8">
      <c r="A7" t="s">
        <v>163</v>
      </c>
      <c r="B7" t="s">
        <v>164</v>
      </c>
      <c r="C7" t="s">
        <v>179</v>
      </c>
      <c r="D7" t="s">
        <v>195</v>
      </c>
      <c r="E7" t="s">
        <v>196</v>
      </c>
      <c r="H7" t="s">
        <v>197</v>
      </c>
    </row>
    <row r="8" spans="1:8">
      <c r="A8" t="s">
        <v>163</v>
      </c>
      <c r="B8" t="s">
        <v>164</v>
      </c>
      <c r="C8" t="s">
        <v>179</v>
      </c>
      <c r="D8" t="s">
        <v>198</v>
      </c>
      <c r="E8" t="s">
        <v>199</v>
      </c>
      <c r="H8" t="s">
        <v>200</v>
      </c>
    </row>
    <row r="9" spans="1:8">
      <c r="A9" t="s">
        <v>163</v>
      </c>
      <c r="B9" t="s">
        <v>164</v>
      </c>
      <c r="C9" t="s">
        <v>179</v>
      </c>
      <c r="D9" t="s">
        <v>201</v>
      </c>
      <c r="E9" t="s">
        <v>202</v>
      </c>
      <c r="H9" t="s">
        <v>203</v>
      </c>
    </row>
    <row r="10" spans="1:8">
      <c r="A10" t="s">
        <v>163</v>
      </c>
      <c r="B10" t="s">
        <v>164</v>
      </c>
      <c r="C10" t="s">
        <v>179</v>
      </c>
      <c r="D10" t="s">
        <v>204</v>
      </c>
      <c r="E10" t="s">
        <v>205</v>
      </c>
      <c r="H10" t="s">
        <v>206</v>
      </c>
    </row>
    <row r="12" spans="1:8">
      <c r="A12" t="s">
        <v>166</v>
      </c>
      <c r="B12" t="s">
        <v>167</v>
      </c>
      <c r="C12" t="s">
        <v>207</v>
      </c>
      <c r="D12" t="s">
        <v>208</v>
      </c>
      <c r="E12" t="s">
        <v>181</v>
      </c>
    </row>
    <row r="13" spans="1:8">
      <c r="A13" t="s">
        <v>166</v>
      </c>
      <c r="B13" t="s">
        <v>167</v>
      </c>
      <c r="C13" t="s">
        <v>207</v>
      </c>
      <c r="D13" t="s">
        <v>209</v>
      </c>
      <c r="E13" t="s">
        <v>210</v>
      </c>
    </row>
    <row r="14" spans="1:8">
      <c r="A14" t="s">
        <v>166</v>
      </c>
      <c r="B14" t="s">
        <v>167</v>
      </c>
      <c r="C14" t="s">
        <v>207</v>
      </c>
      <c r="D14" t="s">
        <v>211</v>
      </c>
      <c r="E14" t="s">
        <v>212</v>
      </c>
      <c r="H14"/>
    </row>
    <row r="15" spans="1:8">
      <c r="A15" t="s">
        <v>166</v>
      </c>
      <c r="B15" t="s">
        <v>167</v>
      </c>
      <c r="C15" t="s">
        <v>207</v>
      </c>
      <c r="D15" t="s">
        <v>213</v>
      </c>
      <c r="E15" t="s">
        <v>214</v>
      </c>
      <c r="H15"/>
    </row>
    <row r="16" spans="1:8">
      <c r="A16" t="s">
        <v>166</v>
      </c>
      <c r="B16" t="s">
        <v>167</v>
      </c>
      <c r="C16" t="s">
        <v>207</v>
      </c>
      <c r="D16" t="s">
        <v>215</v>
      </c>
      <c r="E16" t="s">
        <v>216</v>
      </c>
      <c r="H16"/>
    </row>
    <row r="17" spans="1:8">
      <c r="A17"/>
      <c r="B17"/>
      <c r="C17"/>
      <c r="D17"/>
      <c r="E17"/>
      <c r="H17"/>
    </row>
    <row r="18" spans="1:8">
      <c r="A18"/>
      <c r="B18"/>
      <c r="C18"/>
      <c r="D18"/>
      <c r="E18"/>
      <c r="H18"/>
    </row>
    <row r="19" spans="1:8">
      <c r="A19" t="s">
        <v>168</v>
      </c>
      <c r="B19" t="s">
        <v>169</v>
      </c>
      <c r="C19" t="s">
        <v>207</v>
      </c>
      <c r="D19" t="s">
        <v>217</v>
      </c>
      <c r="E19" t="s">
        <v>218</v>
      </c>
      <c r="H19" t="s">
        <v>219</v>
      </c>
    </row>
    <row r="20" spans="1:8">
      <c r="A20" t="s">
        <v>168</v>
      </c>
      <c r="B20" t="s">
        <v>169</v>
      </c>
      <c r="C20" t="s">
        <v>207</v>
      </c>
      <c r="D20" t="s">
        <v>220</v>
      </c>
      <c r="E20" t="s">
        <v>221</v>
      </c>
      <c r="H20" t="s">
        <v>222</v>
      </c>
    </row>
    <row r="21" spans="1:8">
      <c r="A21" t="s">
        <v>168</v>
      </c>
      <c r="B21" t="s">
        <v>169</v>
      </c>
      <c r="C21" t="s">
        <v>207</v>
      </c>
      <c r="D21" t="s">
        <v>223</v>
      </c>
      <c r="E21" t="s">
        <v>224</v>
      </c>
      <c r="H21" t="s">
        <v>225</v>
      </c>
    </row>
    <row r="22" spans="1:8">
      <c r="A22" t="s">
        <v>168</v>
      </c>
      <c r="B22" t="s">
        <v>169</v>
      </c>
      <c r="C22" t="s">
        <v>207</v>
      </c>
      <c r="D22" t="s">
        <v>226</v>
      </c>
      <c r="E22" t="s">
        <v>227</v>
      </c>
      <c r="H22" t="s">
        <v>228</v>
      </c>
    </row>
    <row r="23" spans="1:8">
      <c r="A23" t="s">
        <v>168</v>
      </c>
      <c r="B23" t="s">
        <v>169</v>
      </c>
      <c r="C23" t="s">
        <v>207</v>
      </c>
      <c r="D23" t="s">
        <v>229</v>
      </c>
      <c r="E23" t="s">
        <v>230</v>
      </c>
      <c r="H23" t="s">
        <v>231</v>
      </c>
    </row>
    <row r="24" spans="1:8">
      <c r="A24" t="s">
        <v>168</v>
      </c>
      <c r="B24" t="s">
        <v>169</v>
      </c>
      <c r="C24" t="s">
        <v>207</v>
      </c>
      <c r="D24" t="s">
        <v>232</v>
      </c>
      <c r="E24" t="s">
        <v>233</v>
      </c>
      <c r="H24" t="s">
        <v>234</v>
      </c>
    </row>
    <row r="25" spans="1:8">
      <c r="A25" t="s">
        <v>168</v>
      </c>
      <c r="B25" t="s">
        <v>169</v>
      </c>
      <c r="C25" t="s">
        <v>207</v>
      </c>
      <c r="D25" t="s">
        <v>235</v>
      </c>
      <c r="E25" t="s">
        <v>236</v>
      </c>
      <c r="H25" t="s">
        <v>237</v>
      </c>
    </row>
    <row r="26" spans="1:8">
      <c r="A26" t="s">
        <v>168</v>
      </c>
      <c r="B26" t="s">
        <v>169</v>
      </c>
      <c r="C26" t="s">
        <v>207</v>
      </c>
      <c r="D26" t="s">
        <v>238</v>
      </c>
      <c r="E26" t="s">
        <v>239</v>
      </c>
      <c r="H26" t="s">
        <v>240</v>
      </c>
    </row>
    <row r="27" spans="1:8">
      <c r="A27" t="s">
        <v>168</v>
      </c>
      <c r="B27" t="s">
        <v>169</v>
      </c>
      <c r="C27" t="s">
        <v>207</v>
      </c>
      <c r="D27" t="s">
        <v>241</v>
      </c>
      <c r="E27" t="s">
        <v>242</v>
      </c>
      <c r="H27" t="s">
        <v>243</v>
      </c>
    </row>
    <row r="28" spans="1:8">
      <c r="A28"/>
      <c r="B28"/>
      <c r="C28"/>
      <c r="D28"/>
      <c r="E28"/>
      <c r="H28"/>
    </row>
    <row r="29" spans="1:8">
      <c r="A29"/>
      <c r="B29"/>
      <c r="C29"/>
      <c r="D29"/>
      <c r="E29"/>
      <c r="H29"/>
    </row>
    <row r="30" spans="1:8">
      <c r="A30"/>
      <c r="B30"/>
      <c r="C30"/>
      <c r="D30"/>
      <c r="E30"/>
      <c r="H30"/>
    </row>
    <row r="31" spans="1:8">
      <c r="A31"/>
      <c r="B31"/>
      <c r="C31"/>
      <c r="D31"/>
      <c r="E31"/>
      <c r="H31"/>
    </row>
    <row r="32" spans="1:8">
      <c r="A32"/>
      <c r="B32"/>
      <c r="C32"/>
      <c r="D32"/>
      <c r="E32"/>
      <c r="H32"/>
    </row>
    <row r="33" spans="1:8">
      <c r="A33"/>
      <c r="B33"/>
      <c r="C33"/>
      <c r="D33"/>
      <c r="E33"/>
      <c r="H33"/>
    </row>
    <row r="34" spans="1:8">
      <c r="A34"/>
      <c r="B34"/>
      <c r="C34"/>
      <c r="D34"/>
      <c r="E34"/>
      <c r="H34"/>
    </row>
    <row r="35" spans="1:8">
      <c r="A35"/>
      <c r="B35"/>
      <c r="C35"/>
      <c r="D35"/>
      <c r="E35"/>
      <c r="H35"/>
    </row>
    <row r="36" spans="1:8">
      <c r="A36"/>
      <c r="B36"/>
      <c r="C36"/>
      <c r="D36"/>
      <c r="E36"/>
      <c r="H36"/>
    </row>
    <row r="37" spans="1:8">
      <c r="A37"/>
      <c r="B37"/>
      <c r="C37"/>
      <c r="D37"/>
      <c r="E37"/>
      <c r="H37"/>
    </row>
    <row r="38" spans="1:8">
      <c r="A38"/>
      <c r="B38"/>
      <c r="C38"/>
      <c r="D38"/>
      <c r="E38"/>
      <c r="H38"/>
    </row>
    <row r="39" spans="1:8">
      <c r="A39"/>
      <c r="B39"/>
      <c r="D39"/>
      <c r="E39"/>
      <c r="H39"/>
    </row>
    <row r="40" spans="1:8">
      <c r="A40" t="s">
        <v>170</v>
      </c>
      <c r="B40" t="s">
        <v>171</v>
      </c>
      <c r="C40" t="s">
        <v>4</v>
      </c>
      <c r="D40" t="s">
        <v>244</v>
      </c>
      <c r="E40" t="s">
        <v>181</v>
      </c>
      <c r="H40" t="s">
        <v>245</v>
      </c>
    </row>
    <row r="41" spans="1:8">
      <c r="A41" t="s">
        <v>170</v>
      </c>
      <c r="B41" t="s">
        <v>171</v>
      </c>
      <c r="C41" t="s">
        <v>4</v>
      </c>
      <c r="D41" t="s">
        <v>246</v>
      </c>
      <c r="E41" t="s">
        <v>247</v>
      </c>
      <c r="H41" t="s">
        <v>248</v>
      </c>
    </row>
    <row r="42" spans="1:8">
      <c r="A42" t="s">
        <v>170</v>
      </c>
      <c r="B42" t="s">
        <v>171</v>
      </c>
      <c r="C42" t="s">
        <v>4</v>
      </c>
      <c r="D42" t="s">
        <v>249</v>
      </c>
      <c r="E42" t="s">
        <v>250</v>
      </c>
      <c r="H42" t="s">
        <v>251</v>
      </c>
    </row>
    <row r="43" spans="1:8">
      <c r="A43" t="s">
        <v>170</v>
      </c>
      <c r="B43" t="s">
        <v>171</v>
      </c>
      <c r="C43" t="s">
        <v>4</v>
      </c>
      <c r="D43" t="s">
        <v>252</v>
      </c>
      <c r="E43" t="s">
        <v>253</v>
      </c>
      <c r="H43" t="s">
        <v>254</v>
      </c>
    </row>
    <row r="44" spans="1:8">
      <c r="A44" t="s">
        <v>170</v>
      </c>
      <c r="B44" t="s">
        <v>171</v>
      </c>
      <c r="C44" t="s">
        <v>4</v>
      </c>
      <c r="D44" t="s">
        <v>255</v>
      </c>
      <c r="E44" t="s">
        <v>256</v>
      </c>
      <c r="H44" t="s">
        <v>257</v>
      </c>
    </row>
    <row r="45" spans="1:8">
      <c r="A45" t="s">
        <v>170</v>
      </c>
      <c r="B45" t="s">
        <v>171</v>
      </c>
      <c r="C45" t="s">
        <v>258</v>
      </c>
      <c r="D45" t="s">
        <v>259</v>
      </c>
      <c r="E45" t="s">
        <v>260</v>
      </c>
      <c r="H45" t="s">
        <v>261</v>
      </c>
    </row>
    <row r="46" spans="1:8">
      <c r="A46"/>
      <c r="B46"/>
      <c r="C46"/>
      <c r="D46"/>
      <c r="E46"/>
      <c r="H46"/>
    </row>
    <row r="47" spans="1:8">
      <c r="A47"/>
      <c r="B47"/>
      <c r="C47"/>
      <c r="D47"/>
      <c r="E47"/>
      <c r="H47"/>
    </row>
    <row r="48" spans="1:8">
      <c r="A48"/>
      <c r="B48"/>
      <c r="C48"/>
      <c r="D48"/>
      <c r="E48"/>
      <c r="H48"/>
    </row>
    <row r="70" spans="1:8">
      <c r="A70" t="s">
        <v>176</v>
      </c>
      <c r="B70" t="s">
        <v>18</v>
      </c>
      <c r="C70" t="s">
        <v>207</v>
      </c>
      <c r="D70" t="s">
        <v>262</v>
      </c>
      <c r="E70" t="s">
        <v>263</v>
      </c>
      <c r="H70" t="s">
        <v>264</v>
      </c>
    </row>
    <row r="71" spans="1:8">
      <c r="A71" t="s">
        <v>176</v>
      </c>
      <c r="B71" t="s">
        <v>18</v>
      </c>
      <c r="C71" t="s">
        <v>207</v>
      </c>
      <c r="D71" t="s">
        <v>265</v>
      </c>
      <c r="E71" t="s">
        <v>266</v>
      </c>
      <c r="H71" t="s">
        <v>267</v>
      </c>
    </row>
    <row r="72" spans="1:8">
      <c r="A72" t="s">
        <v>176</v>
      </c>
      <c r="B72" t="s">
        <v>18</v>
      </c>
      <c r="C72" t="s">
        <v>207</v>
      </c>
      <c r="D72" t="s">
        <v>268</v>
      </c>
      <c r="E72" t="s">
        <v>269</v>
      </c>
      <c r="H72" t="s">
        <v>270</v>
      </c>
    </row>
    <row r="76" spans="1:8">
      <c r="A76" t="s">
        <v>177</v>
      </c>
      <c r="B76" t="s">
        <v>178</v>
      </c>
      <c r="C76" t="s">
        <v>207</v>
      </c>
      <c r="D76" t="s">
        <v>271</v>
      </c>
      <c r="E76" t="s">
        <v>272</v>
      </c>
    </row>
    <row r="77" spans="1:8">
      <c r="A77" t="s">
        <v>177</v>
      </c>
      <c r="B77" t="s">
        <v>178</v>
      </c>
      <c r="C77" t="s">
        <v>207</v>
      </c>
      <c r="D77" t="s">
        <v>273</v>
      </c>
      <c r="E77" t="s">
        <v>269</v>
      </c>
    </row>
  </sheetData>
  <phoneticPr fontId="15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2"/>
  <sheetViews>
    <sheetView workbookViewId="0">
      <pane ySplit="1" topLeftCell="A2" activePane="bottomLeft" state="frozen"/>
      <selection pane="bottomLeft"/>
    </sheetView>
  </sheetViews>
  <sheetFormatPr defaultRowHeight="18.75"/>
  <cols>
    <col min="1" max="1" width="21.5" style="27" customWidth="1"/>
    <col min="2" max="2" width="25.125" style="27" customWidth="1"/>
    <col min="4" max="4" width="18.625" style="27" customWidth="1"/>
    <col min="5" max="5" width="38.25" style="27" customWidth="1"/>
    <col min="6" max="6" width="6.625" style="27" customWidth="1"/>
    <col min="7" max="7" width="14" style="27" customWidth="1"/>
  </cols>
  <sheetData>
    <row r="1" spans="1:8">
      <c r="A1" s="29" t="s">
        <v>429</v>
      </c>
      <c r="B1" t="s">
        <v>431</v>
      </c>
      <c r="C1" t="s">
        <v>432</v>
      </c>
      <c r="D1" t="s">
        <v>1333</v>
      </c>
      <c r="E1" t="s">
        <v>1334</v>
      </c>
      <c r="F1" s="28" t="s">
        <v>1462</v>
      </c>
      <c r="G1" s="28" t="s">
        <v>1463</v>
      </c>
      <c r="H1" t="s">
        <v>437</v>
      </c>
    </row>
    <row r="2" spans="1:8">
      <c r="A2" s="29" t="s">
        <v>183</v>
      </c>
      <c r="B2" t="s">
        <v>184</v>
      </c>
      <c r="C2" t="s">
        <v>274</v>
      </c>
      <c r="D2" t="s">
        <v>275</v>
      </c>
      <c r="E2" t="s">
        <v>276</v>
      </c>
      <c r="F2" t="s">
        <v>29</v>
      </c>
      <c r="G2" t="s">
        <v>184</v>
      </c>
      <c r="H2" t="s">
        <v>277</v>
      </c>
    </row>
    <row r="3" spans="1:8">
      <c r="A3" s="29" t="s">
        <v>186</v>
      </c>
      <c r="B3" t="s">
        <v>187</v>
      </c>
      <c r="C3" t="s">
        <v>274</v>
      </c>
      <c r="D3" t="s">
        <v>278</v>
      </c>
      <c r="E3" t="s">
        <v>279</v>
      </c>
      <c r="F3" t="s">
        <v>29</v>
      </c>
      <c r="G3" t="s">
        <v>187</v>
      </c>
      <c r="H3" t="s">
        <v>280</v>
      </c>
    </row>
    <row r="4" spans="1:8">
      <c r="A4" s="29" t="s">
        <v>186</v>
      </c>
      <c r="B4" t="s">
        <v>187</v>
      </c>
      <c r="C4" t="s">
        <v>274</v>
      </c>
      <c r="D4" t="s">
        <v>281</v>
      </c>
      <c r="E4" t="s">
        <v>282</v>
      </c>
      <c r="F4" t="s">
        <v>29</v>
      </c>
      <c r="G4" t="s">
        <v>187</v>
      </c>
      <c r="H4" t="s">
        <v>283</v>
      </c>
    </row>
    <row r="5" spans="1:8">
      <c r="A5" s="29" t="s">
        <v>189</v>
      </c>
      <c r="B5" t="s">
        <v>190</v>
      </c>
      <c r="C5" t="s">
        <v>274</v>
      </c>
      <c r="D5" t="s">
        <v>284</v>
      </c>
      <c r="E5" t="s">
        <v>285</v>
      </c>
      <c r="F5" t="s">
        <v>29</v>
      </c>
      <c r="G5" t="s">
        <v>190</v>
      </c>
      <c r="H5" t="s">
        <v>286</v>
      </c>
    </row>
    <row r="6" spans="1:8">
      <c r="A6" s="29" t="s">
        <v>189</v>
      </c>
      <c r="B6" t="s">
        <v>190</v>
      </c>
      <c r="C6" t="s">
        <v>274</v>
      </c>
      <c r="D6" t="s">
        <v>287</v>
      </c>
      <c r="E6" t="s">
        <v>288</v>
      </c>
      <c r="F6" t="s">
        <v>29</v>
      </c>
      <c r="G6" t="s">
        <v>190</v>
      </c>
      <c r="H6" t="s">
        <v>289</v>
      </c>
    </row>
    <row r="7" spans="1:8">
      <c r="A7" s="29" t="s">
        <v>189</v>
      </c>
      <c r="B7" t="s">
        <v>190</v>
      </c>
      <c r="C7" t="s">
        <v>274</v>
      </c>
      <c r="D7" t="s">
        <v>290</v>
      </c>
      <c r="E7" t="s">
        <v>291</v>
      </c>
      <c r="F7" t="s">
        <v>29</v>
      </c>
      <c r="G7" t="s">
        <v>190</v>
      </c>
      <c r="H7" t="s">
        <v>292</v>
      </c>
    </row>
    <row r="8" spans="1:8">
      <c r="A8" s="29" t="s">
        <v>192</v>
      </c>
      <c r="B8" t="s">
        <v>293</v>
      </c>
      <c r="C8" t="s">
        <v>274</v>
      </c>
      <c r="D8" t="s">
        <v>294</v>
      </c>
      <c r="E8" t="s">
        <v>295</v>
      </c>
      <c r="F8" t="s">
        <v>53</v>
      </c>
      <c r="G8" t="s">
        <v>293</v>
      </c>
      <c r="H8" t="s">
        <v>296</v>
      </c>
    </row>
    <row r="9" spans="1:8">
      <c r="A9" s="29" t="s">
        <v>192</v>
      </c>
      <c r="B9" t="s">
        <v>297</v>
      </c>
      <c r="C9" t="s">
        <v>274</v>
      </c>
      <c r="D9" t="s">
        <v>298</v>
      </c>
      <c r="E9" t="s">
        <v>299</v>
      </c>
      <c r="F9" t="s">
        <v>53</v>
      </c>
      <c r="G9" t="s">
        <v>297</v>
      </c>
      <c r="H9" t="s">
        <v>300</v>
      </c>
    </row>
    <row r="10" spans="1:8">
      <c r="A10" s="29" t="s">
        <v>192</v>
      </c>
      <c r="B10" t="s">
        <v>301</v>
      </c>
      <c r="C10" t="s">
        <v>274</v>
      </c>
      <c r="D10" t="s">
        <v>302</v>
      </c>
      <c r="E10" t="s">
        <v>303</v>
      </c>
      <c r="F10" t="s">
        <v>53</v>
      </c>
      <c r="G10" t="s">
        <v>301</v>
      </c>
      <c r="H10" t="s">
        <v>304</v>
      </c>
    </row>
    <row r="11" spans="1:8">
      <c r="A11" s="29" t="s">
        <v>192</v>
      </c>
      <c r="B11" t="s">
        <v>305</v>
      </c>
      <c r="C11" t="s">
        <v>274</v>
      </c>
      <c r="D11" t="s">
        <v>306</v>
      </c>
      <c r="E11" t="s">
        <v>307</v>
      </c>
      <c r="F11" t="s">
        <v>53</v>
      </c>
      <c r="G11" t="s">
        <v>305</v>
      </c>
      <c r="H11" t="s">
        <v>304</v>
      </c>
    </row>
    <row r="12" spans="1:8">
      <c r="A12" s="29" t="s">
        <v>201</v>
      </c>
      <c r="B12" t="s">
        <v>202</v>
      </c>
      <c r="C12" t="s">
        <v>274</v>
      </c>
      <c r="D12" t="s">
        <v>308</v>
      </c>
      <c r="E12" t="s">
        <v>309</v>
      </c>
      <c r="F12" t="s">
        <v>29</v>
      </c>
      <c r="G12" t="s">
        <v>202</v>
      </c>
      <c r="H12" t="s">
        <v>310</v>
      </c>
    </row>
    <row r="13" spans="1:8">
      <c r="A13" s="29" t="s">
        <v>201</v>
      </c>
      <c r="B13" t="s">
        <v>202</v>
      </c>
      <c r="C13" t="s">
        <v>274</v>
      </c>
      <c r="D13" t="s">
        <v>311</v>
      </c>
      <c r="E13" t="s">
        <v>312</v>
      </c>
      <c r="F13" t="s">
        <v>29</v>
      </c>
      <c r="G13" t="s">
        <v>202</v>
      </c>
      <c r="H13" t="s">
        <v>313</v>
      </c>
    </row>
    <row r="14" spans="1:8">
      <c r="A14" s="29" t="s">
        <v>201</v>
      </c>
      <c r="B14" t="s">
        <v>202</v>
      </c>
      <c r="C14" t="s">
        <v>274</v>
      </c>
      <c r="D14" t="s">
        <v>314</v>
      </c>
      <c r="E14" t="s">
        <v>315</v>
      </c>
      <c r="F14" t="s">
        <v>29</v>
      </c>
      <c r="G14" t="s">
        <v>202</v>
      </c>
      <c r="H14" t="s">
        <v>313</v>
      </c>
    </row>
    <row r="15" spans="1:8">
      <c r="A15" s="29" t="s">
        <v>198</v>
      </c>
      <c r="B15" t="s">
        <v>199</v>
      </c>
      <c r="C15" t="s">
        <v>274</v>
      </c>
      <c r="D15" t="s">
        <v>316</v>
      </c>
      <c r="E15" t="s">
        <v>317</v>
      </c>
      <c r="F15" t="s">
        <v>29</v>
      </c>
      <c r="G15" t="s">
        <v>199</v>
      </c>
      <c r="H15" t="s">
        <v>310</v>
      </c>
    </row>
    <row r="16" spans="1:8">
      <c r="A16" s="29" t="s">
        <v>198</v>
      </c>
      <c r="B16" t="s">
        <v>199</v>
      </c>
      <c r="C16" t="s">
        <v>274</v>
      </c>
      <c r="D16" t="s">
        <v>318</v>
      </c>
      <c r="E16" t="s">
        <v>319</v>
      </c>
      <c r="F16" t="s">
        <v>29</v>
      </c>
      <c r="G16" t="s">
        <v>199</v>
      </c>
      <c r="H16" t="s">
        <v>320</v>
      </c>
    </row>
    <row r="17" spans="1:8">
      <c r="A17" s="29" t="s">
        <v>198</v>
      </c>
      <c r="B17" t="s">
        <v>199</v>
      </c>
      <c r="C17" t="s">
        <v>274</v>
      </c>
      <c r="D17" t="s">
        <v>321</v>
      </c>
      <c r="E17" t="s">
        <v>322</v>
      </c>
      <c r="F17" t="s">
        <v>29</v>
      </c>
      <c r="G17" t="s">
        <v>199</v>
      </c>
      <c r="H17" t="s">
        <v>313</v>
      </c>
    </row>
    <row r="18" spans="1:8">
      <c r="A18" s="29" t="s">
        <v>198</v>
      </c>
      <c r="B18" t="s">
        <v>199</v>
      </c>
      <c r="C18" t="s">
        <v>274</v>
      </c>
      <c r="D18" t="s">
        <v>323</v>
      </c>
      <c r="E18" t="s">
        <v>324</v>
      </c>
      <c r="F18" t="s">
        <v>29</v>
      </c>
      <c r="G18" t="s">
        <v>199</v>
      </c>
      <c r="H18" t="s">
        <v>325</v>
      </c>
    </row>
    <row r="19" spans="1:8">
      <c r="A19" s="29" t="s">
        <v>198</v>
      </c>
      <c r="B19" t="s">
        <v>199</v>
      </c>
      <c r="C19" t="s">
        <v>274</v>
      </c>
      <c r="D19" t="s">
        <v>326</v>
      </c>
      <c r="E19" t="s">
        <v>327</v>
      </c>
      <c r="F19" t="s">
        <v>29</v>
      </c>
      <c r="G19" t="s">
        <v>199</v>
      </c>
      <c r="H19" t="s">
        <v>328</v>
      </c>
    </row>
    <row r="20" spans="1:8">
      <c r="A20" s="29" t="s">
        <v>204</v>
      </c>
      <c r="B20" t="s">
        <v>205</v>
      </c>
      <c r="C20" t="s">
        <v>274</v>
      </c>
      <c r="D20" t="s">
        <v>329</v>
      </c>
      <c r="E20" t="s">
        <v>330</v>
      </c>
      <c r="F20" t="s">
        <v>29</v>
      </c>
      <c r="G20" t="s">
        <v>205</v>
      </c>
      <c r="H20" t="s">
        <v>331</v>
      </c>
    </row>
    <row r="21" spans="1:8">
      <c r="A21" s="29" t="s">
        <v>246</v>
      </c>
      <c r="B21" t="s">
        <v>332</v>
      </c>
      <c r="C21" t="s">
        <v>274</v>
      </c>
      <c r="D21" t="s">
        <v>333</v>
      </c>
      <c r="E21" t="s">
        <v>334</v>
      </c>
      <c r="F21" t="s">
        <v>53</v>
      </c>
      <c r="G21" t="s">
        <v>332</v>
      </c>
      <c r="H21" t="s">
        <v>335</v>
      </c>
    </row>
    <row r="22" spans="1:8">
      <c r="A22" s="29" t="s">
        <v>249</v>
      </c>
      <c r="B22" t="s">
        <v>336</v>
      </c>
      <c r="C22" t="s">
        <v>274</v>
      </c>
      <c r="D22" t="s">
        <v>337</v>
      </c>
      <c r="E22" t="s">
        <v>324</v>
      </c>
      <c r="F22" t="s">
        <v>29</v>
      </c>
      <c r="G22" t="s">
        <v>336</v>
      </c>
    </row>
    <row r="23" spans="1:8">
      <c r="A23" t="s">
        <v>273</v>
      </c>
      <c r="B23" t="s">
        <v>269</v>
      </c>
      <c r="C23" t="s">
        <v>274</v>
      </c>
      <c r="D23" t="s">
        <v>338</v>
      </c>
      <c r="E23" t="s">
        <v>339</v>
      </c>
      <c r="F23" s="27" t="s">
        <v>29</v>
      </c>
      <c r="H23" t="s">
        <v>340</v>
      </c>
    </row>
    <row r="27" spans="1:8">
      <c r="A27"/>
      <c r="B27"/>
      <c r="D27"/>
      <c r="E27"/>
    </row>
    <row r="28" spans="1:8">
      <c r="A28" s="27" t="s">
        <v>226</v>
      </c>
      <c r="B28" s="27" t="s">
        <v>227</v>
      </c>
      <c r="C28" t="s">
        <v>274</v>
      </c>
      <c r="D28" s="27" t="s">
        <v>341</v>
      </c>
      <c r="E28" s="27" t="s">
        <v>342</v>
      </c>
      <c r="F28" s="27" t="s">
        <v>29</v>
      </c>
    </row>
    <row r="29" spans="1:8">
      <c r="A29" s="27" t="s">
        <v>226</v>
      </c>
      <c r="B29" s="27" t="s">
        <v>227</v>
      </c>
      <c r="C29" t="s">
        <v>274</v>
      </c>
      <c r="D29" s="27" t="s">
        <v>343</v>
      </c>
      <c r="E29" s="27" t="s">
        <v>344</v>
      </c>
      <c r="F29" s="27" t="s">
        <v>29</v>
      </c>
    </row>
    <row r="30" spans="1:8">
      <c r="A30" s="27" t="s">
        <v>229</v>
      </c>
      <c r="B30" s="27" t="s">
        <v>230</v>
      </c>
      <c r="C30" t="s">
        <v>274</v>
      </c>
      <c r="D30" s="27" t="s">
        <v>345</v>
      </c>
      <c r="E30" s="27" t="s">
        <v>346</v>
      </c>
      <c r="F30" s="27" t="s">
        <v>29</v>
      </c>
    </row>
    <row r="31" spans="1:8">
      <c r="A31" s="27" t="s">
        <v>229</v>
      </c>
      <c r="B31" s="27" t="s">
        <v>230</v>
      </c>
      <c r="C31" t="s">
        <v>274</v>
      </c>
      <c r="D31" s="27" t="s">
        <v>347</v>
      </c>
      <c r="E31" s="27" t="s">
        <v>348</v>
      </c>
      <c r="F31" s="27" t="s">
        <v>29</v>
      </c>
      <c r="G31"/>
      <c r="H31" t="s">
        <v>349</v>
      </c>
    </row>
    <row r="32" spans="1:8">
      <c r="A32" s="27" t="s">
        <v>229</v>
      </c>
      <c r="B32" s="27" t="s">
        <v>230</v>
      </c>
      <c r="C32" t="s">
        <v>274</v>
      </c>
      <c r="D32" s="27" t="s">
        <v>350</v>
      </c>
      <c r="E32" s="27" t="s">
        <v>351</v>
      </c>
      <c r="F32" s="27" t="s">
        <v>29</v>
      </c>
      <c r="G32"/>
      <c r="H32" t="s">
        <v>352</v>
      </c>
    </row>
    <row r="33" spans="1:7">
      <c r="A33" s="27" t="s">
        <v>229</v>
      </c>
      <c r="B33" s="27" t="s">
        <v>230</v>
      </c>
      <c r="C33" t="s">
        <v>274</v>
      </c>
      <c r="D33" s="27" t="s">
        <v>353</v>
      </c>
      <c r="E33" s="27" t="s">
        <v>354</v>
      </c>
      <c r="F33" s="27" t="s">
        <v>29</v>
      </c>
    </row>
    <row r="34" spans="1:7">
      <c r="A34" s="27" t="s">
        <v>235</v>
      </c>
      <c r="B34" s="27" t="s">
        <v>236</v>
      </c>
      <c r="C34" t="s">
        <v>274</v>
      </c>
      <c r="D34" s="27" t="s">
        <v>355</v>
      </c>
      <c r="E34" s="27" t="s">
        <v>356</v>
      </c>
      <c r="F34" s="27" t="s">
        <v>29</v>
      </c>
    </row>
    <row r="35" spans="1:7">
      <c r="A35" s="27" t="s">
        <v>235</v>
      </c>
      <c r="B35" s="27" t="s">
        <v>236</v>
      </c>
      <c r="C35" t="s">
        <v>274</v>
      </c>
      <c r="D35" s="27" t="s">
        <v>357</v>
      </c>
      <c r="E35" s="27" t="s">
        <v>358</v>
      </c>
      <c r="F35" s="27" t="s">
        <v>29</v>
      </c>
    </row>
    <row r="36" spans="1:7">
      <c r="A36" s="27" t="s">
        <v>238</v>
      </c>
      <c r="B36" s="27" t="s">
        <v>239</v>
      </c>
      <c r="C36" t="s">
        <v>274</v>
      </c>
      <c r="D36" s="27" t="s">
        <v>359</v>
      </c>
      <c r="E36" s="27" t="s">
        <v>360</v>
      </c>
      <c r="F36" s="27" t="s">
        <v>29</v>
      </c>
    </row>
    <row r="37" spans="1:7">
      <c r="A37" s="27" t="s">
        <v>238</v>
      </c>
      <c r="B37" s="27" t="s">
        <v>239</v>
      </c>
      <c r="C37" t="s">
        <v>274</v>
      </c>
      <c r="D37" s="27" t="s">
        <v>361</v>
      </c>
      <c r="E37" s="27" t="s">
        <v>362</v>
      </c>
      <c r="F37" s="27" t="s">
        <v>29</v>
      </c>
    </row>
    <row r="38" spans="1:7">
      <c r="A38" s="27" t="s">
        <v>241</v>
      </c>
      <c r="B38" s="27" t="s">
        <v>242</v>
      </c>
      <c r="C38" t="s">
        <v>274</v>
      </c>
      <c r="D38" s="27" t="s">
        <v>363</v>
      </c>
      <c r="E38" s="27" t="s">
        <v>364</v>
      </c>
      <c r="F38" s="27" t="s">
        <v>29</v>
      </c>
    </row>
    <row r="39" spans="1:7">
      <c r="A39" s="27" t="s">
        <v>241</v>
      </c>
      <c r="B39" s="27" t="s">
        <v>242</v>
      </c>
      <c r="C39" t="s">
        <v>274</v>
      </c>
      <c r="D39" s="27" t="s">
        <v>365</v>
      </c>
      <c r="E39" s="27" t="s">
        <v>366</v>
      </c>
      <c r="F39" s="27" t="s">
        <v>29</v>
      </c>
    </row>
    <row r="40" spans="1:7">
      <c r="A40" s="27" t="s">
        <v>217</v>
      </c>
      <c r="B40" s="27" t="s">
        <v>218</v>
      </c>
      <c r="C40" t="s">
        <v>274</v>
      </c>
      <c r="D40" s="27" t="s">
        <v>367</v>
      </c>
      <c r="E40" s="27" t="s">
        <v>368</v>
      </c>
      <c r="F40" s="27" t="s">
        <v>29</v>
      </c>
      <c r="G40" s="27" t="s">
        <v>369</v>
      </c>
    </row>
    <row r="41" spans="1:7">
      <c r="A41" s="27" t="s">
        <v>217</v>
      </c>
      <c r="B41" s="27" t="s">
        <v>218</v>
      </c>
      <c r="C41" t="s">
        <v>274</v>
      </c>
      <c r="D41" s="27" t="s">
        <v>370</v>
      </c>
      <c r="E41" s="27" t="s">
        <v>371</v>
      </c>
      <c r="F41" s="27" t="s">
        <v>29</v>
      </c>
      <c r="G41" s="27" t="s">
        <v>372</v>
      </c>
    </row>
    <row r="42" spans="1:7">
      <c r="A42" s="27" t="s">
        <v>217</v>
      </c>
      <c r="B42" s="27" t="s">
        <v>218</v>
      </c>
      <c r="C42" t="s">
        <v>274</v>
      </c>
      <c r="D42" s="27" t="s">
        <v>373</v>
      </c>
      <c r="E42" s="27" t="s">
        <v>374</v>
      </c>
      <c r="F42" s="27" t="s">
        <v>29</v>
      </c>
      <c r="G42" s="27" t="s">
        <v>375</v>
      </c>
    </row>
    <row r="43" spans="1:7">
      <c r="A43" s="27" t="s">
        <v>217</v>
      </c>
      <c r="B43" s="27" t="s">
        <v>218</v>
      </c>
      <c r="C43" t="s">
        <v>274</v>
      </c>
      <c r="D43" s="27" t="s">
        <v>376</v>
      </c>
      <c r="E43" s="27" t="s">
        <v>377</v>
      </c>
      <c r="F43" s="27" t="s">
        <v>29</v>
      </c>
      <c r="G43" s="27" t="s">
        <v>378</v>
      </c>
    </row>
    <row r="44" spans="1:7">
      <c r="A44" s="27" t="s">
        <v>217</v>
      </c>
      <c r="B44" s="27" t="s">
        <v>218</v>
      </c>
      <c r="C44" t="s">
        <v>274</v>
      </c>
      <c r="D44" s="27" t="s">
        <v>379</v>
      </c>
      <c r="E44" s="27" t="s">
        <v>380</v>
      </c>
      <c r="F44" s="27" t="s">
        <v>29</v>
      </c>
      <c r="G44" s="27" t="s">
        <v>381</v>
      </c>
    </row>
    <row r="45" spans="1:7">
      <c r="A45" s="27" t="s">
        <v>220</v>
      </c>
      <c r="B45" s="27" t="s">
        <v>221</v>
      </c>
      <c r="C45" t="s">
        <v>274</v>
      </c>
      <c r="D45" s="27" t="s">
        <v>382</v>
      </c>
      <c r="E45" s="27" t="s">
        <v>383</v>
      </c>
      <c r="F45" s="27" t="s">
        <v>29</v>
      </c>
      <c r="G45" s="27" t="s">
        <v>384</v>
      </c>
    </row>
    <row r="46" spans="1:7">
      <c r="A46" s="27" t="s">
        <v>220</v>
      </c>
      <c r="B46" s="27" t="s">
        <v>221</v>
      </c>
      <c r="C46" t="s">
        <v>274</v>
      </c>
      <c r="D46" s="27" t="s">
        <v>385</v>
      </c>
      <c r="E46" s="27" t="s">
        <v>386</v>
      </c>
      <c r="F46" s="27" t="s">
        <v>29</v>
      </c>
      <c r="G46" s="27" t="s">
        <v>387</v>
      </c>
    </row>
    <row r="47" spans="1:7">
      <c r="A47" s="27" t="s">
        <v>220</v>
      </c>
      <c r="B47" s="27" t="s">
        <v>221</v>
      </c>
      <c r="C47" t="s">
        <v>274</v>
      </c>
      <c r="D47" s="27" t="s">
        <v>388</v>
      </c>
      <c r="E47" s="27" t="s">
        <v>389</v>
      </c>
      <c r="F47" s="27" t="s">
        <v>29</v>
      </c>
      <c r="G47" s="27" t="s">
        <v>390</v>
      </c>
    </row>
    <row r="48" spans="1:7">
      <c r="A48" s="27" t="s">
        <v>223</v>
      </c>
      <c r="B48" s="27" t="s">
        <v>224</v>
      </c>
      <c r="C48" t="s">
        <v>274</v>
      </c>
      <c r="D48" s="27" t="s">
        <v>391</v>
      </c>
      <c r="E48" s="27" t="s">
        <v>392</v>
      </c>
      <c r="F48" s="27" t="s">
        <v>29</v>
      </c>
      <c r="G48" s="27" t="s">
        <v>393</v>
      </c>
    </row>
    <row r="49" spans="1:7">
      <c r="A49" s="27" t="s">
        <v>223</v>
      </c>
      <c r="B49" s="27" t="s">
        <v>224</v>
      </c>
      <c r="C49" t="s">
        <v>274</v>
      </c>
      <c r="D49" s="27" t="s">
        <v>394</v>
      </c>
      <c r="E49" s="27" t="s">
        <v>392</v>
      </c>
      <c r="F49" s="27" t="s">
        <v>29</v>
      </c>
      <c r="G49" s="27" t="s">
        <v>395</v>
      </c>
    </row>
    <row r="50" spans="1:7">
      <c r="A50" s="27" t="s">
        <v>223</v>
      </c>
      <c r="B50" s="27" t="s">
        <v>224</v>
      </c>
      <c r="C50" t="s">
        <v>274</v>
      </c>
      <c r="D50" s="27" t="s">
        <v>396</v>
      </c>
      <c r="E50" s="27" t="s">
        <v>392</v>
      </c>
      <c r="F50" s="27" t="s">
        <v>29</v>
      </c>
      <c r="G50" s="27" t="s">
        <v>397</v>
      </c>
    </row>
    <row r="51" spans="1:7">
      <c r="A51" s="27" t="s">
        <v>223</v>
      </c>
      <c r="B51" s="27" t="s">
        <v>224</v>
      </c>
      <c r="C51" t="s">
        <v>274</v>
      </c>
      <c r="D51" s="27" t="s">
        <v>398</v>
      </c>
      <c r="E51" s="27" t="s">
        <v>399</v>
      </c>
      <c r="F51" s="27" t="s">
        <v>29</v>
      </c>
      <c r="G51" s="27" t="s">
        <v>400</v>
      </c>
    </row>
    <row r="52" spans="1:7">
      <c r="A52" s="27" t="s">
        <v>223</v>
      </c>
      <c r="B52" s="27" t="s">
        <v>224</v>
      </c>
      <c r="C52" t="s">
        <v>274</v>
      </c>
      <c r="D52" s="27" t="s">
        <v>401</v>
      </c>
      <c r="E52" s="27" t="s">
        <v>402</v>
      </c>
      <c r="F52" s="27" t="s">
        <v>29</v>
      </c>
      <c r="G52" s="27" t="s">
        <v>403</v>
      </c>
    </row>
    <row r="53" spans="1:7">
      <c r="A53" s="27" t="s">
        <v>223</v>
      </c>
      <c r="B53" s="27" t="s">
        <v>224</v>
      </c>
      <c r="C53" t="s">
        <v>274</v>
      </c>
      <c r="D53" s="27" t="s">
        <v>404</v>
      </c>
      <c r="E53" s="27" t="s">
        <v>405</v>
      </c>
      <c r="F53" s="27" t="s">
        <v>29</v>
      </c>
      <c r="G53" s="27" t="s">
        <v>406</v>
      </c>
    </row>
    <row r="54" spans="1:7">
      <c r="A54" s="27" t="s">
        <v>223</v>
      </c>
      <c r="B54" s="27" t="s">
        <v>224</v>
      </c>
      <c r="C54" t="s">
        <v>274</v>
      </c>
      <c r="D54" s="27" t="s">
        <v>407</v>
      </c>
      <c r="E54" s="27" t="s">
        <v>408</v>
      </c>
      <c r="F54" s="27" t="s">
        <v>29</v>
      </c>
      <c r="G54" s="27" t="s">
        <v>409</v>
      </c>
    </row>
    <row r="55" spans="1:7">
      <c r="A55" s="27" t="s">
        <v>223</v>
      </c>
      <c r="B55" s="27" t="s">
        <v>224</v>
      </c>
      <c r="C55" t="s">
        <v>274</v>
      </c>
      <c r="D55" s="27" t="s">
        <v>410</v>
      </c>
      <c r="E55" s="27" t="s">
        <v>411</v>
      </c>
      <c r="F55" s="27" t="s">
        <v>29</v>
      </c>
      <c r="G55" s="27" t="s">
        <v>412</v>
      </c>
    </row>
    <row r="56" spans="1:7">
      <c r="A56" s="27" t="s">
        <v>223</v>
      </c>
      <c r="B56" s="27" t="s">
        <v>224</v>
      </c>
      <c r="C56" t="s">
        <v>274</v>
      </c>
      <c r="D56" s="27" t="s">
        <v>413</v>
      </c>
      <c r="E56" s="27" t="s">
        <v>408</v>
      </c>
      <c r="F56" s="27" t="s">
        <v>29</v>
      </c>
      <c r="G56" s="27" t="s">
        <v>414</v>
      </c>
    </row>
    <row r="57" spans="1:7">
      <c r="A57" s="27" t="s">
        <v>232</v>
      </c>
      <c r="B57" s="27" t="s">
        <v>233</v>
      </c>
      <c r="C57" t="s">
        <v>274</v>
      </c>
      <c r="D57" s="27" t="s">
        <v>415</v>
      </c>
      <c r="E57" s="27" t="s">
        <v>416</v>
      </c>
      <c r="F57" s="27" t="s">
        <v>29</v>
      </c>
      <c r="G57" s="27" t="s">
        <v>393</v>
      </c>
    </row>
    <row r="58" spans="1:7">
      <c r="A58" s="27" t="s">
        <v>232</v>
      </c>
      <c r="B58" s="27" t="s">
        <v>233</v>
      </c>
      <c r="C58" t="s">
        <v>274</v>
      </c>
      <c r="D58" s="27" t="s">
        <v>417</v>
      </c>
      <c r="E58" s="27" t="s">
        <v>418</v>
      </c>
      <c r="F58" s="27" t="s">
        <v>29</v>
      </c>
      <c r="G58" s="27" t="s">
        <v>397</v>
      </c>
    </row>
    <row r="59" spans="1:7">
      <c r="A59" s="27" t="s">
        <v>232</v>
      </c>
      <c r="B59" s="27" t="s">
        <v>233</v>
      </c>
      <c r="C59" t="s">
        <v>274</v>
      </c>
      <c r="D59" s="27" t="s">
        <v>419</v>
      </c>
      <c r="E59" s="27" t="s">
        <v>420</v>
      </c>
      <c r="F59" s="27" t="s">
        <v>29</v>
      </c>
      <c r="G59" s="27" t="s">
        <v>400</v>
      </c>
    </row>
    <row r="60" spans="1:7">
      <c r="A60" s="27" t="s">
        <v>232</v>
      </c>
      <c r="B60" s="27" t="s">
        <v>233</v>
      </c>
      <c r="C60" t="s">
        <v>274</v>
      </c>
      <c r="D60" s="27" t="s">
        <v>421</v>
      </c>
      <c r="E60" s="27" t="s">
        <v>422</v>
      </c>
      <c r="F60" s="27" t="s">
        <v>29</v>
      </c>
      <c r="G60" s="27" t="s">
        <v>406</v>
      </c>
    </row>
    <row r="61" spans="1:7">
      <c r="A61" s="27" t="s">
        <v>232</v>
      </c>
      <c r="B61" s="27" t="s">
        <v>233</v>
      </c>
      <c r="C61" t="s">
        <v>274</v>
      </c>
      <c r="D61" s="27" t="s">
        <v>423</v>
      </c>
      <c r="E61" s="27" t="s">
        <v>424</v>
      </c>
      <c r="F61" s="27" t="s">
        <v>29</v>
      </c>
      <c r="G61" s="27" t="s">
        <v>425</v>
      </c>
    </row>
    <row r="62" spans="1:7">
      <c r="A62" s="27" t="s">
        <v>232</v>
      </c>
      <c r="B62" s="27" t="s">
        <v>233</v>
      </c>
      <c r="C62" t="s">
        <v>274</v>
      </c>
      <c r="D62" s="27" t="s">
        <v>426</v>
      </c>
      <c r="E62" s="27" t="s">
        <v>427</v>
      </c>
      <c r="F62" s="27" t="s">
        <v>29</v>
      </c>
      <c r="G62" s="27" t="s">
        <v>428</v>
      </c>
    </row>
  </sheetData>
  <phoneticPr fontId="15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24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8.75"/>
  <cols>
    <col min="1" max="1" width="14" customWidth="1"/>
    <col min="2" max="4" width="16" customWidth="1"/>
    <col min="5" max="5" width="21.5" customWidth="1"/>
    <col min="6" max="6" width="28" customWidth="1"/>
    <col min="7" max="12" width="16" customWidth="1"/>
    <col min="13" max="13" width="3" customWidth="1"/>
    <col min="14" max="25" width="14" customWidth="1"/>
    <col min="26" max="26" width="16.875" bestFit="1" customWidth="1"/>
    <col min="27" max="27" width="9.625" customWidth="1"/>
  </cols>
  <sheetData>
    <row r="1" spans="1:27">
      <c r="A1" s="35" t="s">
        <v>1467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N1" t="s">
        <v>1468</v>
      </c>
    </row>
    <row r="2" spans="1:27">
      <c r="A2" s="36" t="s">
        <v>1469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27">
      <c r="A4" s="37" t="s">
        <v>1470</v>
      </c>
      <c r="B4" s="37" t="s">
        <v>1471</v>
      </c>
      <c r="C4" s="37" t="s">
        <v>1472</v>
      </c>
      <c r="D4" s="37" t="s">
        <v>1473</v>
      </c>
      <c r="E4" s="37" t="s">
        <v>1334</v>
      </c>
      <c r="F4" s="37" t="s">
        <v>434</v>
      </c>
      <c r="G4" s="37" t="s">
        <v>432</v>
      </c>
      <c r="H4" s="37" t="s">
        <v>435</v>
      </c>
      <c r="I4" s="37" t="s">
        <v>436</v>
      </c>
      <c r="J4" s="37" t="s">
        <v>437</v>
      </c>
      <c r="K4" s="37" t="s">
        <v>1464</v>
      </c>
      <c r="L4" s="37" t="s">
        <v>1465</v>
      </c>
      <c r="N4" s="37" t="s">
        <v>429</v>
      </c>
      <c r="O4" s="37" t="s">
        <v>430</v>
      </c>
      <c r="P4" s="37" t="s">
        <v>431</v>
      </c>
      <c r="Q4" s="37" t="s">
        <v>432</v>
      </c>
      <c r="R4" s="37" t="s">
        <v>433</v>
      </c>
      <c r="S4" s="37" t="s">
        <v>434</v>
      </c>
      <c r="T4" s="37" t="s">
        <v>435</v>
      </c>
      <c r="U4" s="37" t="s">
        <v>436</v>
      </c>
      <c r="V4" s="37" t="s">
        <v>437</v>
      </c>
      <c r="W4" s="37" t="s">
        <v>1474</v>
      </c>
      <c r="X4" s="37" t="s">
        <v>1475</v>
      </c>
      <c r="Y4" s="37" t="s">
        <v>1464</v>
      </c>
      <c r="Z4" s="37" t="s">
        <v>1465</v>
      </c>
      <c r="AA4" s="37" t="s">
        <v>1476</v>
      </c>
    </row>
    <row r="5" spans="1:27">
      <c r="A5" s="38" t="str">
        <f>IF($F5="","","I-"&amp;TEXT(MAX(アイテム項目!$N$2:$N$1000)+COUNTIF($F$5:F5,"&lt;&gt;"),"00000"))</f>
        <v/>
      </c>
      <c r="B5" s="39"/>
      <c r="C5" s="38" t="str">
        <f>IFERROR(INDEX(C項目!$A$2:$A$62,MATCH($B5,C項目!$D$2:$D$62,0)),"")</f>
        <v/>
      </c>
      <c r="D5" s="38" t="str">
        <f>IFERROR(INDEX(C項目!$B$2:$B$62,MATCH($B5,C項目!$D$2:$D$62,0)),"")</f>
        <v/>
      </c>
      <c r="E5" s="38" t="str">
        <f>IFERROR(INDEX(C項目!$E$2:$E$62,MATCH($B5,C項目!$D$2:$D$62,0)),"")</f>
        <v/>
      </c>
      <c r="F5" s="43"/>
      <c r="G5" s="43"/>
      <c r="H5" s="43"/>
      <c r="I5" s="43"/>
      <c r="J5" s="43"/>
      <c r="K5" s="38" t="str">
        <f t="shared" ref="K5:K24" si="0">IF($F5="","","有効")</f>
        <v/>
      </c>
      <c r="L5" s="40" t="str">
        <f t="shared" ref="L5:L24" ca="1" si="1">IF($F5="","",NOW())</f>
        <v/>
      </c>
      <c r="N5" s="41" t="str">
        <f t="shared" ref="N5:N24" si="2">IF($F5="","",$B5)</f>
        <v/>
      </c>
      <c r="O5" s="41" t="str">
        <f t="shared" ref="O5:O24" si="3">IF($F5="","","C")</f>
        <v/>
      </c>
      <c r="P5" s="41" t="str">
        <f t="shared" ref="P5:P24" si="4">IF($F5="","",$E5)</f>
        <v/>
      </c>
      <c r="Q5" s="41" t="str">
        <f t="shared" ref="Q5:Q24" si="5">IF($F5="","",$G5)</f>
        <v/>
      </c>
      <c r="R5" s="41" t="str">
        <f t="shared" ref="R5:R24" si="6">IF($F5="","",$A5)</f>
        <v/>
      </c>
      <c r="S5" s="41" t="str">
        <f t="shared" ref="S5:S24" si="7">IF($F5="","",$F5)</f>
        <v/>
      </c>
      <c r="T5" s="41" t="str">
        <f t="shared" ref="T5:T24" si="8">IF($F5="","",$H5)</f>
        <v/>
      </c>
      <c r="U5" s="41" t="str">
        <f t="shared" ref="U5:U24" si="9">IF($F5="","",$I5)</f>
        <v/>
      </c>
      <c r="V5" s="41" t="str">
        <f t="shared" ref="V5:V24" si="10">IF($F5="","",$J5)</f>
        <v/>
      </c>
      <c r="W5" s="41"/>
      <c r="X5" s="41"/>
      <c r="Y5" s="41" t="str">
        <f t="shared" ref="Y5:Y24" si="11">IF($F5="","",$K5)</f>
        <v/>
      </c>
      <c r="Z5" s="42" t="str">
        <f t="shared" ref="Z5:Z24" si="12">IF($F5="","",$L5)</f>
        <v/>
      </c>
      <c r="AA5" s="41" t="str">
        <f t="shared" ref="AA5:AA24" si="13">IF($R5="","",VALUE(MID($R5,3,5)))</f>
        <v/>
      </c>
    </row>
    <row r="6" spans="1:27">
      <c r="A6" s="38" t="str">
        <f>IF($F6="","","I-"&amp;TEXT(MAX(アイテム項目!$N$2:$N$1000)+COUNTIF($F$5:F6,"&lt;&gt;"),"00000"))</f>
        <v/>
      </c>
      <c r="B6" s="39"/>
      <c r="C6" s="38" t="str">
        <f>IFERROR(INDEX(C項目!$A$2:$A$62,MATCH($B6,C項目!$D$2:$D$62,0)),"")</f>
        <v/>
      </c>
      <c r="D6" s="38" t="str">
        <f>IFERROR(INDEX(C項目!$B$2:$B$62,MATCH($B6,C項目!$D$2:$D$62,0)),"")</f>
        <v/>
      </c>
      <c r="E6" s="38" t="str">
        <f>IFERROR(INDEX(C項目!$E$2:$E$62,MATCH($B6,C項目!$D$2:$D$62,0)),"")</f>
        <v/>
      </c>
      <c r="F6" s="39"/>
      <c r="G6" s="39"/>
      <c r="H6" s="39"/>
      <c r="I6" s="39"/>
      <c r="J6" s="39"/>
      <c r="K6" s="38" t="str">
        <f t="shared" si="0"/>
        <v/>
      </c>
      <c r="L6" s="40" t="str">
        <f t="shared" ca="1" si="1"/>
        <v/>
      </c>
      <c r="N6" s="41" t="str">
        <f t="shared" si="2"/>
        <v/>
      </c>
      <c r="O6" s="41" t="str">
        <f t="shared" si="3"/>
        <v/>
      </c>
      <c r="P6" s="41" t="str">
        <f t="shared" si="4"/>
        <v/>
      </c>
      <c r="Q6" s="41" t="str">
        <f t="shared" si="5"/>
        <v/>
      </c>
      <c r="R6" s="41" t="str">
        <f t="shared" si="6"/>
        <v/>
      </c>
      <c r="S6" s="41" t="str">
        <f t="shared" si="7"/>
        <v/>
      </c>
      <c r="T6" s="41" t="str">
        <f t="shared" si="8"/>
        <v/>
      </c>
      <c r="U6" s="41" t="str">
        <f t="shared" si="9"/>
        <v/>
      </c>
      <c r="V6" s="41" t="str">
        <f t="shared" si="10"/>
        <v/>
      </c>
      <c r="W6" s="41"/>
      <c r="X6" s="41"/>
      <c r="Y6" s="41" t="str">
        <f t="shared" si="11"/>
        <v/>
      </c>
      <c r="Z6" s="42" t="str">
        <f t="shared" si="12"/>
        <v/>
      </c>
      <c r="AA6" s="41" t="str">
        <f t="shared" si="13"/>
        <v/>
      </c>
    </row>
    <row r="7" spans="1:27">
      <c r="A7" s="38" t="str">
        <f>IF($F7="","","I-"&amp;TEXT(MAX(アイテム項目!$N$2:$N$1000)+COUNTIF($F$5:F7,"&lt;&gt;"),"00000"))</f>
        <v/>
      </c>
      <c r="B7" s="39"/>
      <c r="C7" s="38" t="str">
        <f>IFERROR(INDEX(C項目!$A$2:$A$62,MATCH($B7,C項目!$D$2:$D$62,0)),"")</f>
        <v/>
      </c>
      <c r="D7" s="38" t="str">
        <f>IFERROR(INDEX(C項目!$B$2:$B$62,MATCH($B7,C項目!$D$2:$D$62,0)),"")</f>
        <v/>
      </c>
      <c r="E7" s="38" t="str">
        <f>IFERROR(INDEX(C項目!$E$2:$E$62,MATCH($B7,C項目!$D$2:$D$62,0)),"")</f>
        <v/>
      </c>
      <c r="F7" s="39"/>
      <c r="G7" s="39"/>
      <c r="H7" s="39"/>
      <c r="I7" s="39"/>
      <c r="J7" s="39"/>
      <c r="K7" s="38" t="str">
        <f t="shared" si="0"/>
        <v/>
      </c>
      <c r="L7" s="40" t="str">
        <f t="shared" ca="1" si="1"/>
        <v/>
      </c>
      <c r="N7" s="41" t="str">
        <f t="shared" si="2"/>
        <v/>
      </c>
      <c r="O7" s="41" t="str">
        <f t="shared" si="3"/>
        <v/>
      </c>
      <c r="P7" s="41" t="str">
        <f t="shared" si="4"/>
        <v/>
      </c>
      <c r="Q7" s="41" t="str">
        <f t="shared" si="5"/>
        <v/>
      </c>
      <c r="R7" s="41" t="str">
        <f t="shared" si="6"/>
        <v/>
      </c>
      <c r="S7" s="41" t="str">
        <f t="shared" si="7"/>
        <v/>
      </c>
      <c r="T7" s="41" t="str">
        <f t="shared" si="8"/>
        <v/>
      </c>
      <c r="U7" s="41" t="str">
        <f t="shared" si="9"/>
        <v/>
      </c>
      <c r="V7" s="41" t="str">
        <f t="shared" si="10"/>
        <v/>
      </c>
      <c r="W7" s="41"/>
      <c r="X7" s="41"/>
      <c r="Y7" s="41" t="str">
        <f t="shared" si="11"/>
        <v/>
      </c>
      <c r="Z7" s="42" t="str">
        <f t="shared" si="12"/>
        <v/>
      </c>
      <c r="AA7" s="41" t="str">
        <f t="shared" si="13"/>
        <v/>
      </c>
    </row>
    <row r="8" spans="1:27">
      <c r="A8" s="38" t="str">
        <f>IF($F8="","","I-"&amp;TEXT(MAX(アイテム項目!$N$2:$N$1000)+COUNTIF($F$5:F8,"&lt;&gt;"),"00000"))</f>
        <v/>
      </c>
      <c r="B8" s="39"/>
      <c r="C8" s="38" t="str">
        <f>IFERROR(INDEX(C項目!$A$2:$A$62,MATCH($B8,C項目!$D$2:$D$62,0)),"")</f>
        <v/>
      </c>
      <c r="D8" s="38" t="str">
        <f>IFERROR(INDEX(C項目!$B$2:$B$62,MATCH($B8,C項目!$D$2:$D$62,0)),"")</f>
        <v/>
      </c>
      <c r="E8" s="38" t="str">
        <f>IFERROR(INDEX(C項目!$E$2:$E$62,MATCH($B8,C項目!$D$2:$D$62,0)),"")</f>
        <v/>
      </c>
      <c r="F8" s="39"/>
      <c r="G8" s="39"/>
      <c r="H8" s="39"/>
      <c r="I8" s="39"/>
      <c r="J8" s="39"/>
      <c r="K8" s="38" t="str">
        <f t="shared" si="0"/>
        <v/>
      </c>
      <c r="L8" s="40" t="str">
        <f t="shared" ca="1" si="1"/>
        <v/>
      </c>
      <c r="N8" s="41" t="str">
        <f t="shared" si="2"/>
        <v/>
      </c>
      <c r="O8" s="41" t="str">
        <f t="shared" si="3"/>
        <v/>
      </c>
      <c r="P8" s="41" t="str">
        <f t="shared" si="4"/>
        <v/>
      </c>
      <c r="Q8" s="41" t="str">
        <f t="shared" si="5"/>
        <v/>
      </c>
      <c r="R8" s="41" t="str">
        <f t="shared" si="6"/>
        <v/>
      </c>
      <c r="S8" s="41" t="str">
        <f t="shared" si="7"/>
        <v/>
      </c>
      <c r="T8" s="41" t="str">
        <f t="shared" si="8"/>
        <v/>
      </c>
      <c r="U8" s="41" t="str">
        <f t="shared" si="9"/>
        <v/>
      </c>
      <c r="V8" s="41" t="str">
        <f t="shared" si="10"/>
        <v/>
      </c>
      <c r="W8" s="41"/>
      <c r="X8" s="41"/>
      <c r="Y8" s="41" t="str">
        <f t="shared" si="11"/>
        <v/>
      </c>
      <c r="Z8" s="42" t="str">
        <f t="shared" si="12"/>
        <v/>
      </c>
      <c r="AA8" s="41" t="str">
        <f t="shared" si="13"/>
        <v/>
      </c>
    </row>
    <row r="9" spans="1:27">
      <c r="A9" s="38" t="str">
        <f>IF($F9="","","I-"&amp;TEXT(MAX(アイテム項目!$N$2:$N$1000)+COUNTIF($F$5:F9,"&lt;&gt;"),"00000"))</f>
        <v/>
      </c>
      <c r="B9" s="39"/>
      <c r="C9" s="38" t="str">
        <f>IFERROR(INDEX(C項目!$A$2:$A$62,MATCH($B9,C項目!$D$2:$D$62,0)),"")</f>
        <v/>
      </c>
      <c r="D9" s="38" t="str">
        <f>IFERROR(INDEX(C項目!$B$2:$B$62,MATCH($B9,C項目!$D$2:$D$62,0)),"")</f>
        <v/>
      </c>
      <c r="E9" s="38" t="str">
        <f>IFERROR(INDEX(C項目!$E$2:$E$62,MATCH($B9,C項目!$D$2:$D$62,0)),"")</f>
        <v/>
      </c>
      <c r="F9" s="39"/>
      <c r="G9" s="39"/>
      <c r="H9" s="39"/>
      <c r="I9" s="39"/>
      <c r="J9" s="39"/>
      <c r="K9" s="38" t="str">
        <f t="shared" si="0"/>
        <v/>
      </c>
      <c r="L9" s="40" t="str">
        <f t="shared" ca="1" si="1"/>
        <v/>
      </c>
      <c r="N9" s="41" t="str">
        <f t="shared" si="2"/>
        <v/>
      </c>
      <c r="O9" s="41" t="str">
        <f t="shared" si="3"/>
        <v/>
      </c>
      <c r="P9" s="41" t="str">
        <f t="shared" si="4"/>
        <v/>
      </c>
      <c r="Q9" s="41" t="str">
        <f t="shared" si="5"/>
        <v/>
      </c>
      <c r="R9" s="41" t="str">
        <f t="shared" si="6"/>
        <v/>
      </c>
      <c r="S9" s="41" t="str">
        <f t="shared" si="7"/>
        <v/>
      </c>
      <c r="T9" s="41" t="str">
        <f t="shared" si="8"/>
        <v/>
      </c>
      <c r="U9" s="41" t="str">
        <f t="shared" si="9"/>
        <v/>
      </c>
      <c r="V9" s="41" t="str">
        <f t="shared" si="10"/>
        <v/>
      </c>
      <c r="W9" s="41"/>
      <c r="X9" s="41"/>
      <c r="Y9" s="41" t="str">
        <f t="shared" si="11"/>
        <v/>
      </c>
      <c r="Z9" s="42" t="str">
        <f t="shared" si="12"/>
        <v/>
      </c>
      <c r="AA9" s="41" t="str">
        <f t="shared" si="13"/>
        <v/>
      </c>
    </row>
    <row r="10" spans="1:27">
      <c r="A10" s="38" t="str">
        <f>IF($F10="","","I-"&amp;TEXT(MAX(アイテム項目!$N$2:$N$1000)+COUNTIF($F$5:F10,"&lt;&gt;"),"00000"))</f>
        <v/>
      </c>
      <c r="B10" s="39"/>
      <c r="C10" s="38" t="str">
        <f>IFERROR(INDEX(C項目!$A$2:$A$62,MATCH($B10,C項目!$D$2:$D$62,0)),"")</f>
        <v/>
      </c>
      <c r="D10" s="38" t="str">
        <f>IFERROR(INDEX(C項目!$B$2:$B$62,MATCH($B10,C項目!$D$2:$D$62,0)),"")</f>
        <v/>
      </c>
      <c r="E10" s="38" t="str">
        <f>IFERROR(INDEX(C項目!$E$2:$E$62,MATCH($B10,C項目!$D$2:$D$62,0)),"")</f>
        <v/>
      </c>
      <c r="F10" s="39"/>
      <c r="G10" s="39"/>
      <c r="H10" s="39"/>
      <c r="I10" s="39"/>
      <c r="J10" s="39"/>
      <c r="K10" s="38" t="str">
        <f t="shared" si="0"/>
        <v/>
      </c>
      <c r="L10" s="40" t="str">
        <f t="shared" ca="1" si="1"/>
        <v/>
      </c>
      <c r="N10" s="41" t="str">
        <f t="shared" si="2"/>
        <v/>
      </c>
      <c r="O10" s="41" t="str">
        <f t="shared" si="3"/>
        <v/>
      </c>
      <c r="P10" s="41" t="str">
        <f t="shared" si="4"/>
        <v/>
      </c>
      <c r="Q10" s="41" t="str">
        <f t="shared" si="5"/>
        <v/>
      </c>
      <c r="R10" s="41" t="str">
        <f t="shared" si="6"/>
        <v/>
      </c>
      <c r="S10" s="41" t="str">
        <f t="shared" si="7"/>
        <v/>
      </c>
      <c r="T10" s="41" t="str">
        <f t="shared" si="8"/>
        <v/>
      </c>
      <c r="U10" s="41" t="str">
        <f t="shared" si="9"/>
        <v/>
      </c>
      <c r="V10" s="41" t="str">
        <f t="shared" si="10"/>
        <v/>
      </c>
      <c r="W10" s="41"/>
      <c r="X10" s="41"/>
      <c r="Y10" s="41" t="str">
        <f t="shared" si="11"/>
        <v/>
      </c>
      <c r="Z10" s="42" t="str">
        <f t="shared" si="12"/>
        <v/>
      </c>
      <c r="AA10" s="41" t="str">
        <f t="shared" si="13"/>
        <v/>
      </c>
    </row>
    <row r="11" spans="1:27">
      <c r="A11" s="38" t="str">
        <f>IF($F11="","","I-"&amp;TEXT(MAX(アイテム項目!$N$2:$N$1000)+COUNTIF($F$5:F11,"&lt;&gt;"),"00000"))</f>
        <v/>
      </c>
      <c r="B11" s="39"/>
      <c r="C11" s="38" t="str">
        <f>IFERROR(INDEX(C項目!$A$2:$A$62,MATCH($B11,C項目!$D$2:$D$62,0)),"")</f>
        <v/>
      </c>
      <c r="D11" s="38" t="str">
        <f>IFERROR(INDEX(C項目!$B$2:$B$62,MATCH($B11,C項目!$D$2:$D$62,0)),"")</f>
        <v/>
      </c>
      <c r="E11" s="38" t="str">
        <f>IFERROR(INDEX(C項目!$E$2:$E$62,MATCH($B11,C項目!$D$2:$D$62,0)),"")</f>
        <v/>
      </c>
      <c r="F11" s="39"/>
      <c r="G11" s="39"/>
      <c r="H11" s="39"/>
      <c r="I11" s="39"/>
      <c r="J11" s="39"/>
      <c r="K11" s="38" t="str">
        <f t="shared" si="0"/>
        <v/>
      </c>
      <c r="L11" s="40" t="str">
        <f t="shared" ca="1" si="1"/>
        <v/>
      </c>
      <c r="N11" s="41" t="str">
        <f t="shared" si="2"/>
        <v/>
      </c>
      <c r="O11" s="41" t="str">
        <f t="shared" si="3"/>
        <v/>
      </c>
      <c r="P11" s="41" t="str">
        <f t="shared" si="4"/>
        <v/>
      </c>
      <c r="Q11" s="41" t="str">
        <f t="shared" si="5"/>
        <v/>
      </c>
      <c r="R11" s="41" t="str">
        <f t="shared" si="6"/>
        <v/>
      </c>
      <c r="S11" s="41" t="str">
        <f t="shared" si="7"/>
        <v/>
      </c>
      <c r="T11" s="41" t="str">
        <f t="shared" si="8"/>
        <v/>
      </c>
      <c r="U11" s="41" t="str">
        <f t="shared" si="9"/>
        <v/>
      </c>
      <c r="V11" s="41" t="str">
        <f t="shared" si="10"/>
        <v/>
      </c>
      <c r="W11" s="41"/>
      <c r="X11" s="41"/>
      <c r="Y11" s="41" t="str">
        <f t="shared" si="11"/>
        <v/>
      </c>
      <c r="Z11" s="42" t="str">
        <f t="shared" si="12"/>
        <v/>
      </c>
      <c r="AA11" s="41" t="str">
        <f t="shared" si="13"/>
        <v/>
      </c>
    </row>
    <row r="12" spans="1:27">
      <c r="A12" s="38" t="str">
        <f>IF($F12="","","I-"&amp;TEXT(MAX(アイテム項目!$N$2:$N$1000)+COUNTIF($F$5:F12,"&lt;&gt;"),"00000"))</f>
        <v/>
      </c>
      <c r="B12" s="39"/>
      <c r="C12" s="38" t="str">
        <f>IFERROR(INDEX(C項目!$A$2:$A$62,MATCH($B12,C項目!$D$2:$D$62,0)),"")</f>
        <v/>
      </c>
      <c r="D12" s="38" t="str">
        <f>IFERROR(INDEX(C項目!$B$2:$B$62,MATCH($B12,C項目!$D$2:$D$62,0)),"")</f>
        <v/>
      </c>
      <c r="E12" s="38" t="str">
        <f>IFERROR(INDEX(C項目!$E$2:$E$62,MATCH($B12,C項目!$D$2:$D$62,0)),"")</f>
        <v/>
      </c>
      <c r="F12" s="39"/>
      <c r="G12" s="39"/>
      <c r="H12" s="39"/>
      <c r="I12" s="39"/>
      <c r="J12" s="39"/>
      <c r="K12" s="38" t="str">
        <f t="shared" si="0"/>
        <v/>
      </c>
      <c r="L12" s="40" t="str">
        <f t="shared" ca="1" si="1"/>
        <v/>
      </c>
      <c r="N12" s="41" t="str">
        <f t="shared" si="2"/>
        <v/>
      </c>
      <c r="O12" s="41" t="str">
        <f t="shared" si="3"/>
        <v/>
      </c>
      <c r="P12" s="41" t="str">
        <f t="shared" si="4"/>
        <v/>
      </c>
      <c r="Q12" s="41" t="str">
        <f t="shared" si="5"/>
        <v/>
      </c>
      <c r="R12" s="41" t="str">
        <f t="shared" si="6"/>
        <v/>
      </c>
      <c r="S12" s="41" t="str">
        <f t="shared" si="7"/>
        <v/>
      </c>
      <c r="T12" s="41" t="str">
        <f t="shared" si="8"/>
        <v/>
      </c>
      <c r="U12" s="41" t="str">
        <f t="shared" si="9"/>
        <v/>
      </c>
      <c r="V12" s="41" t="str">
        <f t="shared" si="10"/>
        <v/>
      </c>
      <c r="W12" s="41"/>
      <c r="X12" s="41"/>
      <c r="Y12" s="41" t="str">
        <f t="shared" si="11"/>
        <v/>
      </c>
      <c r="Z12" s="42" t="str">
        <f t="shared" si="12"/>
        <v/>
      </c>
      <c r="AA12" s="41" t="str">
        <f t="shared" si="13"/>
        <v/>
      </c>
    </row>
    <row r="13" spans="1:27">
      <c r="A13" s="38" t="str">
        <f>IF($F13="","","I-"&amp;TEXT(MAX(アイテム項目!$N$2:$N$1000)+COUNTIF($F$5:F13,"&lt;&gt;"),"00000"))</f>
        <v/>
      </c>
      <c r="B13" s="39"/>
      <c r="C13" s="38" t="str">
        <f>IFERROR(INDEX(C項目!$A$2:$A$62,MATCH($B13,C項目!$D$2:$D$62,0)),"")</f>
        <v/>
      </c>
      <c r="D13" s="38" t="str">
        <f>IFERROR(INDEX(C項目!$B$2:$B$62,MATCH($B13,C項目!$D$2:$D$62,0)),"")</f>
        <v/>
      </c>
      <c r="E13" s="38" t="str">
        <f>IFERROR(INDEX(C項目!$E$2:$E$62,MATCH($B13,C項目!$D$2:$D$62,0)),"")</f>
        <v/>
      </c>
      <c r="F13" s="39"/>
      <c r="G13" s="39"/>
      <c r="H13" s="39"/>
      <c r="I13" s="39"/>
      <c r="J13" s="39"/>
      <c r="K13" s="38" t="str">
        <f t="shared" si="0"/>
        <v/>
      </c>
      <c r="L13" s="40" t="str">
        <f t="shared" ca="1" si="1"/>
        <v/>
      </c>
      <c r="N13" s="41" t="str">
        <f t="shared" si="2"/>
        <v/>
      </c>
      <c r="O13" s="41" t="str">
        <f t="shared" si="3"/>
        <v/>
      </c>
      <c r="P13" s="41" t="str">
        <f t="shared" si="4"/>
        <v/>
      </c>
      <c r="Q13" s="41" t="str">
        <f t="shared" si="5"/>
        <v/>
      </c>
      <c r="R13" s="41" t="str">
        <f t="shared" si="6"/>
        <v/>
      </c>
      <c r="S13" s="41" t="str">
        <f t="shared" si="7"/>
        <v/>
      </c>
      <c r="T13" s="41" t="str">
        <f t="shared" si="8"/>
        <v/>
      </c>
      <c r="U13" s="41" t="str">
        <f t="shared" si="9"/>
        <v/>
      </c>
      <c r="V13" s="41" t="str">
        <f t="shared" si="10"/>
        <v/>
      </c>
      <c r="W13" s="41"/>
      <c r="X13" s="41"/>
      <c r="Y13" s="41" t="str">
        <f t="shared" si="11"/>
        <v/>
      </c>
      <c r="Z13" s="42" t="str">
        <f t="shared" si="12"/>
        <v/>
      </c>
      <c r="AA13" s="41" t="str">
        <f t="shared" si="13"/>
        <v/>
      </c>
    </row>
    <row r="14" spans="1:27">
      <c r="A14" s="38" t="str">
        <f>IF($F14="","","I-"&amp;TEXT(MAX(アイテム項目!$N$2:$N$1000)+COUNTIF($F$5:F14,"&lt;&gt;"),"00000"))</f>
        <v/>
      </c>
      <c r="B14" s="39"/>
      <c r="C14" s="38" t="str">
        <f>IFERROR(INDEX(C項目!$A$2:$A$62,MATCH($B14,C項目!$D$2:$D$62,0)),"")</f>
        <v/>
      </c>
      <c r="D14" s="38" t="str">
        <f>IFERROR(INDEX(C項目!$B$2:$B$62,MATCH($B14,C項目!$D$2:$D$62,0)),"")</f>
        <v/>
      </c>
      <c r="E14" s="38" t="str">
        <f>IFERROR(INDEX(C項目!$E$2:$E$62,MATCH($B14,C項目!$D$2:$D$62,0)),"")</f>
        <v/>
      </c>
      <c r="F14" s="39"/>
      <c r="G14" s="39"/>
      <c r="H14" s="39"/>
      <c r="I14" s="39"/>
      <c r="J14" s="39"/>
      <c r="K14" s="38" t="str">
        <f t="shared" si="0"/>
        <v/>
      </c>
      <c r="L14" s="40" t="str">
        <f t="shared" ca="1" si="1"/>
        <v/>
      </c>
      <c r="N14" s="41" t="str">
        <f t="shared" si="2"/>
        <v/>
      </c>
      <c r="O14" s="41" t="str">
        <f t="shared" si="3"/>
        <v/>
      </c>
      <c r="P14" s="41" t="str">
        <f t="shared" si="4"/>
        <v/>
      </c>
      <c r="Q14" s="41" t="str">
        <f t="shared" si="5"/>
        <v/>
      </c>
      <c r="R14" s="41" t="str">
        <f t="shared" si="6"/>
        <v/>
      </c>
      <c r="S14" s="41" t="str">
        <f t="shared" si="7"/>
        <v/>
      </c>
      <c r="T14" s="41" t="str">
        <f t="shared" si="8"/>
        <v/>
      </c>
      <c r="U14" s="41" t="str">
        <f t="shared" si="9"/>
        <v/>
      </c>
      <c r="V14" s="41" t="str">
        <f t="shared" si="10"/>
        <v/>
      </c>
      <c r="W14" s="41"/>
      <c r="X14" s="41"/>
      <c r="Y14" s="41" t="str">
        <f t="shared" si="11"/>
        <v/>
      </c>
      <c r="Z14" s="42" t="str">
        <f t="shared" si="12"/>
        <v/>
      </c>
      <c r="AA14" s="41" t="str">
        <f t="shared" si="13"/>
        <v/>
      </c>
    </row>
    <row r="15" spans="1:27">
      <c r="A15" s="38" t="str">
        <f>IF($F15="","","I-"&amp;TEXT(MAX(アイテム項目!$N$2:$N$1000)+COUNTIF($F$5:F15,"&lt;&gt;"),"00000"))</f>
        <v/>
      </c>
      <c r="B15" s="39"/>
      <c r="C15" s="38" t="str">
        <f>IFERROR(INDEX(C項目!$A$2:$A$62,MATCH($B15,C項目!$D$2:$D$62,0)),"")</f>
        <v/>
      </c>
      <c r="D15" s="38" t="str">
        <f>IFERROR(INDEX(C項目!$B$2:$B$62,MATCH($B15,C項目!$D$2:$D$62,0)),"")</f>
        <v/>
      </c>
      <c r="E15" s="38" t="str">
        <f>IFERROR(INDEX(C項目!$E$2:$E$62,MATCH($B15,C項目!$D$2:$D$62,0)),"")</f>
        <v/>
      </c>
      <c r="F15" s="39"/>
      <c r="G15" s="39"/>
      <c r="H15" s="39"/>
      <c r="I15" s="39"/>
      <c r="J15" s="39"/>
      <c r="K15" s="38" t="str">
        <f t="shared" si="0"/>
        <v/>
      </c>
      <c r="L15" s="40" t="str">
        <f t="shared" ca="1" si="1"/>
        <v/>
      </c>
      <c r="N15" s="41" t="str">
        <f t="shared" si="2"/>
        <v/>
      </c>
      <c r="O15" s="41" t="str">
        <f t="shared" si="3"/>
        <v/>
      </c>
      <c r="P15" s="41" t="str">
        <f t="shared" si="4"/>
        <v/>
      </c>
      <c r="Q15" s="41" t="str">
        <f t="shared" si="5"/>
        <v/>
      </c>
      <c r="R15" s="41" t="str">
        <f t="shared" si="6"/>
        <v/>
      </c>
      <c r="S15" s="41" t="str">
        <f t="shared" si="7"/>
        <v/>
      </c>
      <c r="T15" s="41" t="str">
        <f t="shared" si="8"/>
        <v/>
      </c>
      <c r="U15" s="41" t="str">
        <f t="shared" si="9"/>
        <v/>
      </c>
      <c r="V15" s="41" t="str">
        <f t="shared" si="10"/>
        <v/>
      </c>
      <c r="W15" s="41"/>
      <c r="X15" s="41"/>
      <c r="Y15" s="41" t="str">
        <f t="shared" si="11"/>
        <v/>
      </c>
      <c r="Z15" s="42" t="str">
        <f t="shared" si="12"/>
        <v/>
      </c>
      <c r="AA15" s="41" t="str">
        <f t="shared" si="13"/>
        <v/>
      </c>
    </row>
    <row r="16" spans="1:27">
      <c r="A16" s="38" t="str">
        <f>IF($F16="","","I-"&amp;TEXT(MAX(アイテム項目!$N$2:$N$1000)+COUNTIF($F$5:F16,"&lt;&gt;"),"00000"))</f>
        <v/>
      </c>
      <c r="B16" s="39"/>
      <c r="C16" s="38" t="str">
        <f>IFERROR(INDEX(C項目!$A$2:$A$62,MATCH($B16,C項目!$D$2:$D$62,0)),"")</f>
        <v/>
      </c>
      <c r="D16" s="38" t="str">
        <f>IFERROR(INDEX(C項目!$B$2:$B$62,MATCH($B16,C項目!$D$2:$D$62,0)),"")</f>
        <v/>
      </c>
      <c r="E16" s="38" t="str">
        <f>IFERROR(INDEX(C項目!$E$2:$E$62,MATCH($B16,C項目!$D$2:$D$62,0)),"")</f>
        <v/>
      </c>
      <c r="F16" s="39"/>
      <c r="G16" s="39"/>
      <c r="H16" s="39"/>
      <c r="I16" s="39"/>
      <c r="J16" s="39"/>
      <c r="K16" s="38" t="str">
        <f t="shared" si="0"/>
        <v/>
      </c>
      <c r="L16" s="40" t="str">
        <f t="shared" ca="1" si="1"/>
        <v/>
      </c>
      <c r="N16" s="41" t="str">
        <f t="shared" si="2"/>
        <v/>
      </c>
      <c r="O16" s="41" t="str">
        <f t="shared" si="3"/>
        <v/>
      </c>
      <c r="P16" s="41" t="str">
        <f t="shared" si="4"/>
        <v/>
      </c>
      <c r="Q16" s="41" t="str">
        <f t="shared" si="5"/>
        <v/>
      </c>
      <c r="R16" s="41" t="str">
        <f t="shared" si="6"/>
        <v/>
      </c>
      <c r="S16" s="41" t="str">
        <f t="shared" si="7"/>
        <v/>
      </c>
      <c r="T16" s="41" t="str">
        <f t="shared" si="8"/>
        <v/>
      </c>
      <c r="U16" s="41" t="str">
        <f t="shared" si="9"/>
        <v/>
      </c>
      <c r="V16" s="41" t="str">
        <f t="shared" si="10"/>
        <v/>
      </c>
      <c r="W16" s="41"/>
      <c r="X16" s="41"/>
      <c r="Y16" s="41" t="str">
        <f t="shared" si="11"/>
        <v/>
      </c>
      <c r="Z16" s="42" t="str">
        <f t="shared" si="12"/>
        <v/>
      </c>
      <c r="AA16" s="41" t="str">
        <f t="shared" si="13"/>
        <v/>
      </c>
    </row>
    <row r="17" spans="1:27">
      <c r="A17" s="38" t="str">
        <f>IF($F17="","","I-"&amp;TEXT(MAX(アイテム項目!$N$2:$N$1000)+COUNTIF($F$5:F17,"&lt;&gt;"),"00000"))</f>
        <v/>
      </c>
      <c r="B17" s="39"/>
      <c r="C17" s="38" t="str">
        <f>IFERROR(INDEX(C項目!$A$2:$A$62,MATCH($B17,C項目!$D$2:$D$62,0)),"")</f>
        <v/>
      </c>
      <c r="D17" s="38" t="str">
        <f>IFERROR(INDEX(C項目!$B$2:$B$62,MATCH($B17,C項目!$D$2:$D$62,0)),"")</f>
        <v/>
      </c>
      <c r="E17" s="38" t="str">
        <f>IFERROR(INDEX(C項目!$E$2:$E$62,MATCH($B17,C項目!$D$2:$D$62,0)),"")</f>
        <v/>
      </c>
      <c r="F17" s="39"/>
      <c r="G17" s="39"/>
      <c r="H17" s="39"/>
      <c r="I17" s="39"/>
      <c r="J17" s="39"/>
      <c r="K17" s="38" t="str">
        <f t="shared" si="0"/>
        <v/>
      </c>
      <c r="L17" s="40" t="str">
        <f t="shared" ca="1" si="1"/>
        <v/>
      </c>
      <c r="N17" s="41" t="str">
        <f t="shared" si="2"/>
        <v/>
      </c>
      <c r="O17" s="41" t="str">
        <f t="shared" si="3"/>
        <v/>
      </c>
      <c r="P17" s="41" t="str">
        <f t="shared" si="4"/>
        <v/>
      </c>
      <c r="Q17" s="41" t="str">
        <f t="shared" si="5"/>
        <v/>
      </c>
      <c r="R17" s="41" t="str">
        <f t="shared" si="6"/>
        <v/>
      </c>
      <c r="S17" s="41" t="str">
        <f t="shared" si="7"/>
        <v/>
      </c>
      <c r="T17" s="41" t="str">
        <f t="shared" si="8"/>
        <v/>
      </c>
      <c r="U17" s="41" t="str">
        <f t="shared" si="9"/>
        <v/>
      </c>
      <c r="V17" s="41" t="str">
        <f t="shared" si="10"/>
        <v/>
      </c>
      <c r="W17" s="41"/>
      <c r="X17" s="41"/>
      <c r="Y17" s="41" t="str">
        <f t="shared" si="11"/>
        <v/>
      </c>
      <c r="Z17" s="42" t="str">
        <f t="shared" si="12"/>
        <v/>
      </c>
      <c r="AA17" s="41" t="str">
        <f t="shared" si="13"/>
        <v/>
      </c>
    </row>
    <row r="18" spans="1:27">
      <c r="A18" s="38" t="str">
        <f>IF($F18="","","I-"&amp;TEXT(MAX(アイテム項目!$N$2:$N$1000)+COUNTIF($F$5:F18,"&lt;&gt;"),"00000"))</f>
        <v/>
      </c>
      <c r="B18" s="39"/>
      <c r="C18" s="38" t="str">
        <f>IFERROR(INDEX(C項目!$A$2:$A$62,MATCH($B18,C項目!$D$2:$D$62,0)),"")</f>
        <v/>
      </c>
      <c r="D18" s="38" t="str">
        <f>IFERROR(INDEX(C項目!$B$2:$B$62,MATCH($B18,C項目!$D$2:$D$62,0)),"")</f>
        <v/>
      </c>
      <c r="E18" s="38" t="str">
        <f>IFERROR(INDEX(C項目!$E$2:$E$62,MATCH($B18,C項目!$D$2:$D$62,0)),"")</f>
        <v/>
      </c>
      <c r="F18" s="39"/>
      <c r="G18" s="39"/>
      <c r="H18" s="39"/>
      <c r="I18" s="39"/>
      <c r="J18" s="39"/>
      <c r="K18" s="38" t="str">
        <f t="shared" si="0"/>
        <v/>
      </c>
      <c r="L18" s="40" t="str">
        <f t="shared" ca="1" si="1"/>
        <v/>
      </c>
      <c r="N18" s="41" t="str">
        <f t="shared" si="2"/>
        <v/>
      </c>
      <c r="O18" s="41" t="str">
        <f t="shared" si="3"/>
        <v/>
      </c>
      <c r="P18" s="41" t="str">
        <f t="shared" si="4"/>
        <v/>
      </c>
      <c r="Q18" s="41" t="str">
        <f t="shared" si="5"/>
        <v/>
      </c>
      <c r="R18" s="41" t="str">
        <f t="shared" si="6"/>
        <v/>
      </c>
      <c r="S18" s="41" t="str">
        <f t="shared" si="7"/>
        <v/>
      </c>
      <c r="T18" s="41" t="str">
        <f t="shared" si="8"/>
        <v/>
      </c>
      <c r="U18" s="41" t="str">
        <f t="shared" si="9"/>
        <v/>
      </c>
      <c r="V18" s="41" t="str">
        <f t="shared" si="10"/>
        <v/>
      </c>
      <c r="W18" s="41"/>
      <c r="X18" s="41"/>
      <c r="Y18" s="41" t="str">
        <f t="shared" si="11"/>
        <v/>
      </c>
      <c r="Z18" s="42" t="str">
        <f t="shared" si="12"/>
        <v/>
      </c>
      <c r="AA18" s="41" t="str">
        <f t="shared" si="13"/>
        <v/>
      </c>
    </row>
    <row r="19" spans="1:27">
      <c r="A19" s="38" t="str">
        <f>IF($F19="","","I-"&amp;TEXT(MAX(アイテム項目!$N$2:$N$1000)+COUNTIF($F$5:F19,"&lt;&gt;"),"00000"))</f>
        <v/>
      </c>
      <c r="B19" s="39"/>
      <c r="C19" s="38" t="str">
        <f>IFERROR(INDEX(C項目!$A$2:$A$62,MATCH($B19,C項目!$D$2:$D$62,0)),"")</f>
        <v/>
      </c>
      <c r="D19" s="38" t="str">
        <f>IFERROR(INDEX(C項目!$B$2:$B$62,MATCH($B19,C項目!$D$2:$D$62,0)),"")</f>
        <v/>
      </c>
      <c r="E19" s="38" t="str">
        <f>IFERROR(INDEX(C項目!$E$2:$E$62,MATCH($B19,C項目!$D$2:$D$62,0)),"")</f>
        <v/>
      </c>
      <c r="F19" s="39"/>
      <c r="G19" s="39"/>
      <c r="H19" s="39"/>
      <c r="I19" s="39"/>
      <c r="J19" s="39"/>
      <c r="K19" s="38" t="str">
        <f t="shared" si="0"/>
        <v/>
      </c>
      <c r="L19" s="40" t="str">
        <f t="shared" ca="1" si="1"/>
        <v/>
      </c>
      <c r="N19" s="41" t="str">
        <f t="shared" si="2"/>
        <v/>
      </c>
      <c r="O19" s="41" t="str">
        <f t="shared" si="3"/>
        <v/>
      </c>
      <c r="P19" s="41" t="str">
        <f t="shared" si="4"/>
        <v/>
      </c>
      <c r="Q19" s="41" t="str">
        <f t="shared" si="5"/>
        <v/>
      </c>
      <c r="R19" s="41" t="str">
        <f t="shared" si="6"/>
        <v/>
      </c>
      <c r="S19" s="41" t="str">
        <f t="shared" si="7"/>
        <v/>
      </c>
      <c r="T19" s="41" t="str">
        <f t="shared" si="8"/>
        <v/>
      </c>
      <c r="U19" s="41" t="str">
        <f t="shared" si="9"/>
        <v/>
      </c>
      <c r="V19" s="41" t="str">
        <f t="shared" si="10"/>
        <v/>
      </c>
      <c r="W19" s="41"/>
      <c r="X19" s="41"/>
      <c r="Y19" s="41" t="str">
        <f t="shared" si="11"/>
        <v/>
      </c>
      <c r="Z19" s="42" t="str">
        <f t="shared" si="12"/>
        <v/>
      </c>
      <c r="AA19" s="41" t="str">
        <f t="shared" si="13"/>
        <v/>
      </c>
    </row>
    <row r="20" spans="1:27">
      <c r="A20" s="38" t="str">
        <f>IF($F20="","","I-"&amp;TEXT(MAX(アイテム項目!$N$2:$N$1000)+COUNTIF($F$5:F20,"&lt;&gt;"),"00000"))</f>
        <v/>
      </c>
      <c r="B20" s="39"/>
      <c r="C20" s="38" t="str">
        <f>IFERROR(INDEX(C項目!$A$2:$A$62,MATCH($B20,C項目!$D$2:$D$62,0)),"")</f>
        <v/>
      </c>
      <c r="D20" s="38" t="str">
        <f>IFERROR(INDEX(C項目!$B$2:$B$62,MATCH($B20,C項目!$D$2:$D$62,0)),"")</f>
        <v/>
      </c>
      <c r="E20" s="38" t="str">
        <f>IFERROR(INDEX(C項目!$E$2:$E$62,MATCH($B20,C項目!$D$2:$D$62,0)),"")</f>
        <v/>
      </c>
      <c r="F20" s="39"/>
      <c r="G20" s="39"/>
      <c r="H20" s="39"/>
      <c r="I20" s="39"/>
      <c r="J20" s="39"/>
      <c r="K20" s="38" t="str">
        <f t="shared" si="0"/>
        <v/>
      </c>
      <c r="L20" s="40" t="str">
        <f t="shared" ca="1" si="1"/>
        <v/>
      </c>
      <c r="N20" s="41" t="str">
        <f t="shared" si="2"/>
        <v/>
      </c>
      <c r="O20" s="41" t="str">
        <f t="shared" si="3"/>
        <v/>
      </c>
      <c r="P20" s="41" t="str">
        <f t="shared" si="4"/>
        <v/>
      </c>
      <c r="Q20" s="41" t="str">
        <f t="shared" si="5"/>
        <v/>
      </c>
      <c r="R20" s="41" t="str">
        <f t="shared" si="6"/>
        <v/>
      </c>
      <c r="S20" s="41" t="str">
        <f t="shared" si="7"/>
        <v/>
      </c>
      <c r="T20" s="41" t="str">
        <f t="shared" si="8"/>
        <v/>
      </c>
      <c r="U20" s="41" t="str">
        <f t="shared" si="9"/>
        <v/>
      </c>
      <c r="V20" s="41" t="str">
        <f t="shared" si="10"/>
        <v/>
      </c>
      <c r="W20" s="41"/>
      <c r="X20" s="41"/>
      <c r="Y20" s="41" t="str">
        <f t="shared" si="11"/>
        <v/>
      </c>
      <c r="Z20" s="42" t="str">
        <f t="shared" si="12"/>
        <v/>
      </c>
      <c r="AA20" s="41" t="str">
        <f t="shared" si="13"/>
        <v/>
      </c>
    </row>
    <row r="21" spans="1:27">
      <c r="A21" s="38" t="str">
        <f>IF($F21="","","I-"&amp;TEXT(MAX(アイテム項目!$N$2:$N$1000)+COUNTIF($F$5:F21,"&lt;&gt;"),"00000"))</f>
        <v/>
      </c>
      <c r="B21" s="39"/>
      <c r="C21" s="38" t="str">
        <f>IFERROR(INDEX(C項目!$A$2:$A$62,MATCH($B21,C項目!$D$2:$D$62,0)),"")</f>
        <v/>
      </c>
      <c r="D21" s="38" t="str">
        <f>IFERROR(INDEX(C項目!$B$2:$B$62,MATCH($B21,C項目!$D$2:$D$62,0)),"")</f>
        <v/>
      </c>
      <c r="E21" s="38" t="str">
        <f>IFERROR(INDEX(C項目!$E$2:$E$62,MATCH($B21,C項目!$D$2:$D$62,0)),"")</f>
        <v/>
      </c>
      <c r="F21" s="39"/>
      <c r="G21" s="39"/>
      <c r="H21" s="39"/>
      <c r="I21" s="39"/>
      <c r="J21" s="39"/>
      <c r="K21" s="38" t="str">
        <f t="shared" si="0"/>
        <v/>
      </c>
      <c r="L21" s="40" t="str">
        <f t="shared" ca="1" si="1"/>
        <v/>
      </c>
      <c r="N21" s="41" t="str">
        <f t="shared" si="2"/>
        <v/>
      </c>
      <c r="O21" s="41" t="str">
        <f t="shared" si="3"/>
        <v/>
      </c>
      <c r="P21" s="41" t="str">
        <f t="shared" si="4"/>
        <v/>
      </c>
      <c r="Q21" s="41" t="str">
        <f t="shared" si="5"/>
        <v/>
      </c>
      <c r="R21" s="41" t="str">
        <f t="shared" si="6"/>
        <v/>
      </c>
      <c r="S21" s="41" t="str">
        <f t="shared" si="7"/>
        <v/>
      </c>
      <c r="T21" s="41" t="str">
        <f t="shared" si="8"/>
        <v/>
      </c>
      <c r="U21" s="41" t="str">
        <f t="shared" si="9"/>
        <v/>
      </c>
      <c r="V21" s="41" t="str">
        <f t="shared" si="10"/>
        <v/>
      </c>
      <c r="W21" s="41"/>
      <c r="X21" s="41"/>
      <c r="Y21" s="41" t="str">
        <f t="shared" si="11"/>
        <v/>
      </c>
      <c r="Z21" s="42" t="str">
        <f t="shared" si="12"/>
        <v/>
      </c>
      <c r="AA21" s="41" t="str">
        <f t="shared" si="13"/>
        <v/>
      </c>
    </row>
    <row r="22" spans="1:27">
      <c r="A22" s="38" t="str">
        <f>IF($F22="","","I-"&amp;TEXT(MAX(アイテム項目!$N$2:$N$1000)+COUNTIF($F$5:F22,"&lt;&gt;"),"00000"))</f>
        <v/>
      </c>
      <c r="B22" s="39"/>
      <c r="C22" s="38" t="str">
        <f>IFERROR(INDEX(C項目!$A$2:$A$62,MATCH($B22,C項目!$D$2:$D$62,0)),"")</f>
        <v/>
      </c>
      <c r="D22" s="38" t="str">
        <f>IFERROR(INDEX(C項目!$B$2:$B$62,MATCH($B22,C項目!$D$2:$D$62,0)),"")</f>
        <v/>
      </c>
      <c r="E22" s="38" t="str">
        <f>IFERROR(INDEX(C項目!$E$2:$E$62,MATCH($B22,C項目!$D$2:$D$62,0)),"")</f>
        <v/>
      </c>
      <c r="F22" s="39"/>
      <c r="G22" s="39"/>
      <c r="H22" s="39"/>
      <c r="I22" s="39"/>
      <c r="J22" s="39"/>
      <c r="K22" s="38" t="str">
        <f t="shared" si="0"/>
        <v/>
      </c>
      <c r="L22" s="40" t="str">
        <f t="shared" ca="1" si="1"/>
        <v/>
      </c>
      <c r="N22" s="41" t="str">
        <f t="shared" si="2"/>
        <v/>
      </c>
      <c r="O22" s="41" t="str">
        <f t="shared" si="3"/>
        <v/>
      </c>
      <c r="P22" s="41" t="str">
        <f t="shared" si="4"/>
        <v/>
      </c>
      <c r="Q22" s="41" t="str">
        <f t="shared" si="5"/>
        <v/>
      </c>
      <c r="R22" s="41" t="str">
        <f t="shared" si="6"/>
        <v/>
      </c>
      <c r="S22" s="41" t="str">
        <f t="shared" si="7"/>
        <v/>
      </c>
      <c r="T22" s="41" t="str">
        <f t="shared" si="8"/>
        <v/>
      </c>
      <c r="U22" s="41" t="str">
        <f t="shared" si="9"/>
        <v/>
      </c>
      <c r="V22" s="41" t="str">
        <f t="shared" si="10"/>
        <v/>
      </c>
      <c r="W22" s="41"/>
      <c r="X22" s="41"/>
      <c r="Y22" s="41" t="str">
        <f t="shared" si="11"/>
        <v/>
      </c>
      <c r="Z22" s="42" t="str">
        <f t="shared" si="12"/>
        <v/>
      </c>
      <c r="AA22" s="41" t="str">
        <f t="shared" si="13"/>
        <v/>
      </c>
    </row>
    <row r="23" spans="1:27">
      <c r="A23" s="38" t="str">
        <f>IF($F23="","","I-"&amp;TEXT(MAX(アイテム項目!$N$2:$N$1000)+COUNTIF($F$5:F23,"&lt;&gt;"),"00000"))</f>
        <v/>
      </c>
      <c r="B23" s="39"/>
      <c r="C23" s="38" t="str">
        <f>IFERROR(INDEX(C項目!$A$2:$A$62,MATCH($B23,C項目!$D$2:$D$62,0)),"")</f>
        <v/>
      </c>
      <c r="D23" s="38" t="str">
        <f>IFERROR(INDEX(C項目!$B$2:$B$62,MATCH($B23,C項目!$D$2:$D$62,0)),"")</f>
        <v/>
      </c>
      <c r="E23" s="38" t="str">
        <f>IFERROR(INDEX(C項目!$E$2:$E$62,MATCH($B23,C項目!$D$2:$D$62,0)),"")</f>
        <v/>
      </c>
      <c r="F23" s="39"/>
      <c r="G23" s="39"/>
      <c r="H23" s="39"/>
      <c r="I23" s="39"/>
      <c r="J23" s="39"/>
      <c r="K23" s="38" t="str">
        <f t="shared" si="0"/>
        <v/>
      </c>
      <c r="L23" s="40" t="str">
        <f t="shared" ca="1" si="1"/>
        <v/>
      </c>
      <c r="N23" s="41" t="str">
        <f t="shared" si="2"/>
        <v/>
      </c>
      <c r="O23" s="41" t="str">
        <f t="shared" si="3"/>
        <v/>
      </c>
      <c r="P23" s="41" t="str">
        <f t="shared" si="4"/>
        <v/>
      </c>
      <c r="Q23" s="41" t="str">
        <f t="shared" si="5"/>
        <v/>
      </c>
      <c r="R23" s="41" t="str">
        <f t="shared" si="6"/>
        <v/>
      </c>
      <c r="S23" s="41" t="str">
        <f t="shared" si="7"/>
        <v/>
      </c>
      <c r="T23" s="41" t="str">
        <f t="shared" si="8"/>
        <v/>
      </c>
      <c r="U23" s="41" t="str">
        <f t="shared" si="9"/>
        <v/>
      </c>
      <c r="V23" s="41" t="str">
        <f t="shared" si="10"/>
        <v/>
      </c>
      <c r="W23" s="41"/>
      <c r="X23" s="41"/>
      <c r="Y23" s="41" t="str">
        <f t="shared" si="11"/>
        <v/>
      </c>
      <c r="Z23" s="42" t="str">
        <f t="shared" si="12"/>
        <v/>
      </c>
      <c r="AA23" s="41" t="str">
        <f t="shared" si="13"/>
        <v/>
      </c>
    </row>
    <row r="24" spans="1:27">
      <c r="A24" s="38" t="str">
        <f>IF($F24="","","I-"&amp;TEXT(MAX(アイテム項目!$N$2:$N$1000)+COUNTIF($F$5:F24,"&lt;&gt;"),"00000"))</f>
        <v/>
      </c>
      <c r="B24" s="39"/>
      <c r="C24" s="38" t="str">
        <f>IFERROR(INDEX(C項目!$A$2:$A$62,MATCH($B24,C項目!$D$2:$D$62,0)),"")</f>
        <v/>
      </c>
      <c r="D24" s="38" t="str">
        <f>IFERROR(INDEX(C項目!$B$2:$B$62,MATCH($B24,C項目!$D$2:$D$62,0)),"")</f>
        <v/>
      </c>
      <c r="E24" s="38" t="str">
        <f>IFERROR(INDEX(C項目!$E$2:$E$62,MATCH($B24,C項目!$D$2:$D$62,0)),"")</f>
        <v/>
      </c>
      <c r="F24" s="39"/>
      <c r="G24" s="39"/>
      <c r="H24" s="39"/>
      <c r="I24" s="39"/>
      <c r="J24" s="39"/>
      <c r="K24" s="38" t="str">
        <f t="shared" si="0"/>
        <v/>
      </c>
      <c r="L24" s="40" t="str">
        <f t="shared" ca="1" si="1"/>
        <v/>
      </c>
      <c r="N24" s="41" t="str">
        <f t="shared" si="2"/>
        <v/>
      </c>
      <c r="O24" s="41" t="str">
        <f t="shared" si="3"/>
        <v/>
      </c>
      <c r="P24" s="41" t="str">
        <f t="shared" si="4"/>
        <v/>
      </c>
      <c r="Q24" s="41" t="str">
        <f t="shared" si="5"/>
        <v/>
      </c>
      <c r="R24" s="41" t="str">
        <f t="shared" si="6"/>
        <v/>
      </c>
      <c r="S24" s="41" t="str">
        <f t="shared" si="7"/>
        <v/>
      </c>
      <c r="T24" s="41" t="str">
        <f t="shared" si="8"/>
        <v/>
      </c>
      <c r="U24" s="41" t="str">
        <f t="shared" si="9"/>
        <v/>
      </c>
      <c r="V24" s="41" t="str">
        <f t="shared" si="10"/>
        <v/>
      </c>
      <c r="W24" s="41"/>
      <c r="X24" s="41"/>
      <c r="Y24" s="41" t="str">
        <f t="shared" si="11"/>
        <v/>
      </c>
      <c r="Z24" s="42" t="str">
        <f t="shared" si="12"/>
        <v/>
      </c>
      <c r="AA24" s="41" t="str">
        <f t="shared" si="13"/>
        <v/>
      </c>
    </row>
  </sheetData>
  <phoneticPr fontId="15"/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C00-000000000000}">
          <x14:formula1>
            <xm:f>C項目!$D$2:$D$62</xm:f>
          </x14:formula1>
          <xm:sqref>B5:B24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0"/>
  <sheetViews>
    <sheetView workbookViewId="0">
      <pane ySplit="1" topLeftCell="A229" activePane="bottomLeft" state="frozen"/>
      <selection pane="bottomLeft" activeCell="H239" sqref="H239"/>
    </sheetView>
  </sheetViews>
  <sheetFormatPr defaultRowHeight="18.75"/>
  <cols>
    <col min="1" max="1" width="9.625" style="27" customWidth="1"/>
    <col min="2" max="2" width="11.75" style="27" customWidth="1"/>
    <col min="3" max="3" width="28.25" style="27" customWidth="1"/>
    <col min="4" max="4" width="12.625" style="27" customWidth="1"/>
    <col min="6" max="6" width="44.25" style="27" customWidth="1"/>
    <col min="7" max="7" width="19.25" style="27" customWidth="1"/>
    <col min="8" max="8" width="22.75" style="27" customWidth="1"/>
    <col min="9" max="9" width="12.5" style="27" customWidth="1"/>
    <col min="10" max="10" width="11.125" style="27" customWidth="1"/>
    <col min="12" max="12" width="12" customWidth="1"/>
    <col min="13" max="13" width="18" customWidth="1"/>
    <col min="14" max="14" width="17.625" bestFit="1" customWidth="1"/>
  </cols>
  <sheetData>
    <row r="1" spans="1:14">
      <c r="A1" t="s">
        <v>429</v>
      </c>
      <c r="B1" t="s">
        <v>430</v>
      </c>
      <c r="C1" t="s">
        <v>431</v>
      </c>
      <c r="D1" s="28" t="s">
        <v>432</v>
      </c>
      <c r="E1" t="s">
        <v>433</v>
      </c>
      <c r="F1" t="s">
        <v>434</v>
      </c>
      <c r="G1" s="28" t="s">
        <v>435</v>
      </c>
      <c r="H1" s="28" t="s">
        <v>436</v>
      </c>
      <c r="I1" t="s">
        <v>437</v>
      </c>
      <c r="L1" s="32" t="s">
        <v>1464</v>
      </c>
      <c r="M1" s="32" t="s">
        <v>1465</v>
      </c>
      <c r="N1" s="32" t="s">
        <v>1466</v>
      </c>
    </row>
    <row r="2" spans="1:14">
      <c r="A2" t="s">
        <v>278</v>
      </c>
      <c r="B2" t="s">
        <v>53</v>
      </c>
      <c r="C2" t="s">
        <v>279</v>
      </c>
      <c r="D2" t="s">
        <v>438</v>
      </c>
      <c r="E2" t="s">
        <v>439</v>
      </c>
      <c r="F2" t="s">
        <v>440</v>
      </c>
      <c r="G2" t="s">
        <v>441</v>
      </c>
      <c r="H2" t="s">
        <v>29</v>
      </c>
      <c r="I2" t="s">
        <v>442</v>
      </c>
      <c r="L2" s="33"/>
      <c r="M2" s="34"/>
      <c r="N2">
        <f t="shared" ref="N2:N65" si="0">IFERROR(VALUE(MID(E2,3,5)),"")</f>
        <v>1</v>
      </c>
    </row>
    <row r="3" spans="1:14">
      <c r="A3" t="s">
        <v>278</v>
      </c>
      <c r="B3" t="s">
        <v>53</v>
      </c>
      <c r="C3" t="s">
        <v>279</v>
      </c>
      <c r="D3" t="s">
        <v>438</v>
      </c>
      <c r="E3" t="s">
        <v>443</v>
      </c>
      <c r="F3" t="s">
        <v>444</v>
      </c>
      <c r="G3" t="s">
        <v>441</v>
      </c>
      <c r="H3" t="s">
        <v>29</v>
      </c>
      <c r="I3" t="s">
        <v>445</v>
      </c>
      <c r="L3" s="33"/>
      <c r="M3" s="34"/>
      <c r="N3">
        <f t="shared" si="0"/>
        <v>2</v>
      </c>
    </row>
    <row r="4" spans="1:14">
      <c r="A4" t="s">
        <v>278</v>
      </c>
      <c r="B4" t="s">
        <v>53</v>
      </c>
      <c r="C4" t="s">
        <v>279</v>
      </c>
      <c r="D4" t="s">
        <v>438</v>
      </c>
      <c r="E4" t="s">
        <v>446</v>
      </c>
      <c r="F4" t="s">
        <v>447</v>
      </c>
      <c r="G4" t="s">
        <v>441</v>
      </c>
      <c r="H4" t="s">
        <v>29</v>
      </c>
      <c r="I4" t="s">
        <v>448</v>
      </c>
      <c r="L4" s="33"/>
      <c r="M4" s="34"/>
      <c r="N4">
        <f t="shared" si="0"/>
        <v>3</v>
      </c>
    </row>
    <row r="5" spans="1:14">
      <c r="A5" t="s">
        <v>278</v>
      </c>
      <c r="B5" t="s">
        <v>53</v>
      </c>
      <c r="C5" t="s">
        <v>279</v>
      </c>
      <c r="D5" t="s">
        <v>438</v>
      </c>
      <c r="E5" t="s">
        <v>449</v>
      </c>
      <c r="F5" t="s">
        <v>450</v>
      </c>
      <c r="G5" t="s">
        <v>441</v>
      </c>
      <c r="H5" t="s">
        <v>29</v>
      </c>
      <c r="I5" t="s">
        <v>451</v>
      </c>
      <c r="L5" s="33"/>
      <c r="M5" s="34"/>
      <c r="N5">
        <f t="shared" si="0"/>
        <v>4</v>
      </c>
    </row>
    <row r="6" spans="1:14">
      <c r="A6" t="s">
        <v>278</v>
      </c>
      <c r="B6" t="s">
        <v>53</v>
      </c>
      <c r="C6" t="s">
        <v>279</v>
      </c>
      <c r="D6" t="s">
        <v>438</v>
      </c>
      <c r="E6" t="s">
        <v>452</v>
      </c>
      <c r="F6" t="s">
        <v>453</v>
      </c>
      <c r="G6" t="s">
        <v>454</v>
      </c>
      <c r="H6" t="s">
        <v>29</v>
      </c>
      <c r="I6" t="s">
        <v>455</v>
      </c>
      <c r="L6" s="33"/>
      <c r="M6" s="34"/>
      <c r="N6">
        <f t="shared" si="0"/>
        <v>5</v>
      </c>
    </row>
    <row r="7" spans="1:14">
      <c r="A7" t="s">
        <v>275</v>
      </c>
      <c r="B7" t="s">
        <v>53</v>
      </c>
      <c r="C7" t="s">
        <v>276</v>
      </c>
      <c r="D7" t="s">
        <v>456</v>
      </c>
      <c r="E7" t="s">
        <v>457</v>
      </c>
      <c r="F7" t="s">
        <v>458</v>
      </c>
      <c r="G7" t="s">
        <v>456</v>
      </c>
      <c r="H7" t="s">
        <v>29</v>
      </c>
      <c r="I7" t="s">
        <v>459</v>
      </c>
      <c r="L7" s="33"/>
      <c r="M7" s="34"/>
      <c r="N7">
        <f t="shared" si="0"/>
        <v>6</v>
      </c>
    </row>
    <row r="8" spans="1:14">
      <c r="A8" t="s">
        <v>275</v>
      </c>
      <c r="B8" t="s">
        <v>53</v>
      </c>
      <c r="C8" t="s">
        <v>276</v>
      </c>
      <c r="D8" t="s">
        <v>456</v>
      </c>
      <c r="E8" t="s">
        <v>460</v>
      </c>
      <c r="F8" t="s">
        <v>461</v>
      </c>
      <c r="G8" t="s">
        <v>456</v>
      </c>
      <c r="H8" t="s">
        <v>29</v>
      </c>
      <c r="I8" t="s">
        <v>462</v>
      </c>
      <c r="L8" s="33"/>
      <c r="M8" s="34"/>
      <c r="N8">
        <f t="shared" si="0"/>
        <v>7</v>
      </c>
    </row>
    <row r="9" spans="1:14">
      <c r="A9" t="s">
        <v>275</v>
      </c>
      <c r="B9" t="s">
        <v>53</v>
      </c>
      <c r="C9" t="s">
        <v>276</v>
      </c>
      <c r="D9" t="s">
        <v>156</v>
      </c>
      <c r="E9" t="s">
        <v>463</v>
      </c>
      <c r="F9" t="s">
        <v>464</v>
      </c>
      <c r="G9" t="s">
        <v>156</v>
      </c>
      <c r="H9" t="s">
        <v>29</v>
      </c>
      <c r="I9" t="s">
        <v>465</v>
      </c>
      <c r="L9" s="33"/>
      <c r="M9" s="34"/>
      <c r="N9">
        <f t="shared" si="0"/>
        <v>8</v>
      </c>
    </row>
    <row r="10" spans="1:14">
      <c r="A10" t="s">
        <v>275</v>
      </c>
      <c r="B10" t="s">
        <v>53</v>
      </c>
      <c r="C10" t="s">
        <v>276</v>
      </c>
      <c r="D10" t="s">
        <v>466</v>
      </c>
      <c r="E10" t="s">
        <v>467</v>
      </c>
      <c r="F10" t="s">
        <v>468</v>
      </c>
      <c r="G10" t="s">
        <v>469</v>
      </c>
      <c r="H10" t="s">
        <v>29</v>
      </c>
      <c r="I10" t="s">
        <v>470</v>
      </c>
      <c r="L10" s="33"/>
      <c r="M10" s="34"/>
      <c r="N10">
        <f t="shared" si="0"/>
        <v>9</v>
      </c>
    </row>
    <row r="11" spans="1:14">
      <c r="A11" t="s">
        <v>275</v>
      </c>
      <c r="B11" t="s">
        <v>53</v>
      </c>
      <c r="C11" t="s">
        <v>276</v>
      </c>
      <c r="D11" t="s">
        <v>466</v>
      </c>
      <c r="E11" t="s">
        <v>471</v>
      </c>
      <c r="F11" t="s">
        <v>472</v>
      </c>
      <c r="G11" t="s">
        <v>456</v>
      </c>
      <c r="H11" t="s">
        <v>29</v>
      </c>
      <c r="I11" t="s">
        <v>473</v>
      </c>
      <c r="L11" s="33"/>
      <c r="M11" s="34"/>
      <c r="N11">
        <f t="shared" si="0"/>
        <v>10</v>
      </c>
    </row>
    <row r="12" spans="1:14">
      <c r="A12" t="s">
        <v>275</v>
      </c>
      <c r="B12" t="s">
        <v>53</v>
      </c>
      <c r="C12" t="s">
        <v>276</v>
      </c>
      <c r="D12" t="s">
        <v>474</v>
      </c>
      <c r="E12" t="s">
        <v>475</v>
      </c>
      <c r="F12" t="s">
        <v>476</v>
      </c>
      <c r="G12" t="s">
        <v>474</v>
      </c>
      <c r="H12" t="s">
        <v>29</v>
      </c>
      <c r="I12" t="s">
        <v>477</v>
      </c>
      <c r="L12" s="33"/>
      <c r="M12" s="34"/>
      <c r="N12">
        <f t="shared" si="0"/>
        <v>11</v>
      </c>
    </row>
    <row r="13" spans="1:14">
      <c r="A13" t="s">
        <v>275</v>
      </c>
      <c r="B13" t="s">
        <v>53</v>
      </c>
      <c r="C13" t="s">
        <v>276</v>
      </c>
      <c r="D13" t="s">
        <v>466</v>
      </c>
      <c r="E13" t="s">
        <v>478</v>
      </c>
      <c r="F13" t="s">
        <v>479</v>
      </c>
      <c r="G13" t="s">
        <v>480</v>
      </c>
      <c r="H13" t="s">
        <v>29</v>
      </c>
      <c r="I13" t="s">
        <v>481</v>
      </c>
      <c r="L13" s="33"/>
      <c r="M13" s="34"/>
      <c r="N13">
        <f t="shared" si="0"/>
        <v>12</v>
      </c>
    </row>
    <row r="14" spans="1:14">
      <c r="A14" t="s">
        <v>275</v>
      </c>
      <c r="B14" t="s">
        <v>53</v>
      </c>
      <c r="C14" t="s">
        <v>276</v>
      </c>
      <c r="D14" t="s">
        <v>466</v>
      </c>
      <c r="E14" t="s">
        <v>482</v>
      </c>
      <c r="F14" t="s">
        <v>483</v>
      </c>
      <c r="G14" t="s">
        <v>484</v>
      </c>
      <c r="H14" t="s">
        <v>29</v>
      </c>
      <c r="I14" t="s">
        <v>485</v>
      </c>
      <c r="L14" s="33"/>
      <c r="M14" s="34"/>
      <c r="N14">
        <f t="shared" si="0"/>
        <v>13</v>
      </c>
    </row>
    <row r="15" spans="1:14">
      <c r="A15" t="s">
        <v>275</v>
      </c>
      <c r="B15" t="s">
        <v>53</v>
      </c>
      <c r="C15" t="s">
        <v>276</v>
      </c>
      <c r="D15" t="s">
        <v>486</v>
      </c>
      <c r="E15" t="s">
        <v>487</v>
      </c>
      <c r="F15" t="s">
        <v>488</v>
      </c>
      <c r="G15" t="s">
        <v>486</v>
      </c>
      <c r="H15" t="s">
        <v>29</v>
      </c>
      <c r="I15" t="s">
        <v>489</v>
      </c>
      <c r="L15" s="33"/>
      <c r="M15" s="34"/>
      <c r="N15">
        <f t="shared" si="0"/>
        <v>14</v>
      </c>
    </row>
    <row r="16" spans="1:14">
      <c r="A16" t="s">
        <v>275</v>
      </c>
      <c r="B16" t="s">
        <v>53</v>
      </c>
      <c r="C16" t="s">
        <v>276</v>
      </c>
      <c r="D16" t="s">
        <v>490</v>
      </c>
      <c r="E16" t="s">
        <v>491</v>
      </c>
      <c r="F16" t="s">
        <v>492</v>
      </c>
      <c r="G16" t="s">
        <v>490</v>
      </c>
      <c r="H16" t="s">
        <v>29</v>
      </c>
      <c r="I16" t="s">
        <v>493</v>
      </c>
      <c r="L16" s="33"/>
      <c r="M16" s="34"/>
      <c r="N16">
        <f t="shared" si="0"/>
        <v>15</v>
      </c>
    </row>
    <row r="17" spans="1:14">
      <c r="A17" t="s">
        <v>281</v>
      </c>
      <c r="B17" t="s">
        <v>53</v>
      </c>
      <c r="C17" t="s">
        <v>282</v>
      </c>
      <c r="D17" t="s">
        <v>494</v>
      </c>
      <c r="E17" t="s">
        <v>495</v>
      </c>
      <c r="F17" t="s">
        <v>496</v>
      </c>
      <c r="G17" t="s">
        <v>494</v>
      </c>
      <c r="H17" t="s">
        <v>29</v>
      </c>
      <c r="I17" t="s">
        <v>497</v>
      </c>
      <c r="L17" s="33"/>
      <c r="M17" s="34"/>
      <c r="N17">
        <f t="shared" si="0"/>
        <v>16</v>
      </c>
    </row>
    <row r="18" spans="1:14">
      <c r="A18" t="s">
        <v>281</v>
      </c>
      <c r="B18" t="s">
        <v>53</v>
      </c>
      <c r="C18" t="s">
        <v>282</v>
      </c>
      <c r="D18" t="s">
        <v>494</v>
      </c>
      <c r="E18" t="s">
        <v>498</v>
      </c>
      <c r="F18" t="s">
        <v>499</v>
      </c>
      <c r="G18" t="s">
        <v>494</v>
      </c>
      <c r="H18" t="s">
        <v>29</v>
      </c>
      <c r="I18" t="s">
        <v>500</v>
      </c>
      <c r="L18" s="33"/>
      <c r="M18" s="34"/>
      <c r="N18">
        <f t="shared" si="0"/>
        <v>17</v>
      </c>
    </row>
    <row r="19" spans="1:14">
      <c r="A19" t="s">
        <v>281</v>
      </c>
      <c r="B19" t="s">
        <v>53</v>
      </c>
      <c r="C19" t="s">
        <v>282</v>
      </c>
      <c r="D19" t="s">
        <v>474</v>
      </c>
      <c r="E19" t="s">
        <v>501</v>
      </c>
      <c r="F19" t="s">
        <v>502</v>
      </c>
      <c r="G19" t="s">
        <v>474</v>
      </c>
      <c r="H19" t="s">
        <v>29</v>
      </c>
      <c r="I19" t="s">
        <v>503</v>
      </c>
      <c r="L19" s="33"/>
      <c r="M19" s="34"/>
      <c r="N19">
        <f t="shared" si="0"/>
        <v>18</v>
      </c>
    </row>
    <row r="20" spans="1:14">
      <c r="A20" t="s">
        <v>281</v>
      </c>
      <c r="B20" t="s">
        <v>53</v>
      </c>
      <c r="C20" t="s">
        <v>282</v>
      </c>
      <c r="D20" t="s">
        <v>474</v>
      </c>
      <c r="E20" t="s">
        <v>504</v>
      </c>
      <c r="F20" t="s">
        <v>505</v>
      </c>
      <c r="G20" t="s">
        <v>474</v>
      </c>
      <c r="H20" t="s">
        <v>29</v>
      </c>
      <c r="I20" t="s">
        <v>506</v>
      </c>
      <c r="L20" s="33"/>
      <c r="M20" s="34"/>
      <c r="N20">
        <f t="shared" si="0"/>
        <v>19</v>
      </c>
    </row>
    <row r="21" spans="1:14">
      <c r="A21" t="s">
        <v>281</v>
      </c>
      <c r="B21" t="s">
        <v>53</v>
      </c>
      <c r="C21" t="s">
        <v>282</v>
      </c>
      <c r="D21" t="s">
        <v>486</v>
      </c>
      <c r="E21" t="s">
        <v>507</v>
      </c>
      <c r="F21" t="s">
        <v>508</v>
      </c>
      <c r="G21" t="s">
        <v>486</v>
      </c>
      <c r="H21" t="s">
        <v>29</v>
      </c>
      <c r="I21" t="s">
        <v>509</v>
      </c>
      <c r="L21" s="33"/>
      <c r="M21" s="34"/>
      <c r="N21">
        <f t="shared" si="0"/>
        <v>20</v>
      </c>
    </row>
    <row r="22" spans="1:14">
      <c r="A22" t="s">
        <v>281</v>
      </c>
      <c r="B22" t="s">
        <v>53</v>
      </c>
      <c r="C22" t="s">
        <v>282</v>
      </c>
      <c r="D22" t="s">
        <v>486</v>
      </c>
      <c r="E22" t="s">
        <v>510</v>
      </c>
      <c r="F22" t="s">
        <v>511</v>
      </c>
      <c r="G22" t="s">
        <v>486</v>
      </c>
      <c r="H22" t="s">
        <v>29</v>
      </c>
      <c r="I22" t="s">
        <v>512</v>
      </c>
      <c r="L22" s="33"/>
      <c r="M22" s="34"/>
      <c r="N22">
        <f t="shared" si="0"/>
        <v>21</v>
      </c>
    </row>
    <row r="23" spans="1:14">
      <c r="A23" t="s">
        <v>281</v>
      </c>
      <c r="B23" t="s">
        <v>53</v>
      </c>
      <c r="C23" t="s">
        <v>282</v>
      </c>
      <c r="D23" t="s">
        <v>486</v>
      </c>
      <c r="E23" t="s">
        <v>513</v>
      </c>
      <c r="F23" t="s">
        <v>514</v>
      </c>
      <c r="G23" t="s">
        <v>486</v>
      </c>
      <c r="H23" t="s">
        <v>29</v>
      </c>
      <c r="I23" t="s">
        <v>515</v>
      </c>
      <c r="L23" s="33"/>
      <c r="M23" s="34"/>
      <c r="N23">
        <f t="shared" si="0"/>
        <v>22</v>
      </c>
    </row>
    <row r="24" spans="1:14">
      <c r="A24" t="s">
        <v>281</v>
      </c>
      <c r="B24" t="s">
        <v>53</v>
      </c>
      <c r="C24" t="s">
        <v>282</v>
      </c>
      <c r="D24" t="s">
        <v>486</v>
      </c>
      <c r="E24" t="s">
        <v>516</v>
      </c>
      <c r="F24" t="s">
        <v>517</v>
      </c>
      <c r="G24" t="s">
        <v>486</v>
      </c>
      <c r="H24" t="s">
        <v>29</v>
      </c>
      <c r="I24" t="s">
        <v>518</v>
      </c>
      <c r="L24" s="33"/>
      <c r="M24" s="34"/>
      <c r="N24">
        <f t="shared" si="0"/>
        <v>23</v>
      </c>
    </row>
    <row r="25" spans="1:14">
      <c r="A25" t="s">
        <v>284</v>
      </c>
      <c r="B25" t="s">
        <v>53</v>
      </c>
      <c r="C25" t="s">
        <v>285</v>
      </c>
      <c r="D25" t="s">
        <v>474</v>
      </c>
      <c r="E25" t="s">
        <v>519</v>
      </c>
      <c r="F25" t="s">
        <v>520</v>
      </c>
      <c r="G25" t="s">
        <v>466</v>
      </c>
      <c r="H25" t="s">
        <v>29</v>
      </c>
      <c r="I25" t="s">
        <v>521</v>
      </c>
      <c r="L25" s="33"/>
      <c r="M25" s="34"/>
      <c r="N25">
        <f t="shared" si="0"/>
        <v>24</v>
      </c>
    </row>
    <row r="26" spans="1:14">
      <c r="A26" t="s">
        <v>284</v>
      </c>
      <c r="B26" t="s">
        <v>53</v>
      </c>
      <c r="C26" t="s">
        <v>285</v>
      </c>
      <c r="D26" t="s">
        <v>474</v>
      </c>
      <c r="E26" t="s">
        <v>522</v>
      </c>
      <c r="F26" t="s">
        <v>523</v>
      </c>
      <c r="G26" t="s">
        <v>474</v>
      </c>
      <c r="H26" t="s">
        <v>29</v>
      </c>
      <c r="I26" t="s">
        <v>524</v>
      </c>
      <c r="L26" s="33"/>
      <c r="M26" s="34"/>
      <c r="N26">
        <f t="shared" si="0"/>
        <v>25</v>
      </c>
    </row>
    <row r="27" spans="1:14">
      <c r="A27" t="s">
        <v>284</v>
      </c>
      <c r="B27" t="s">
        <v>53</v>
      </c>
      <c r="C27" t="s">
        <v>285</v>
      </c>
      <c r="D27" t="s">
        <v>474</v>
      </c>
      <c r="E27" t="s">
        <v>525</v>
      </c>
      <c r="F27" t="s">
        <v>526</v>
      </c>
      <c r="G27" t="s">
        <v>474</v>
      </c>
      <c r="H27" t="s">
        <v>29</v>
      </c>
      <c r="I27" t="s">
        <v>527</v>
      </c>
      <c r="L27" s="33"/>
      <c r="M27" s="34"/>
      <c r="N27">
        <f t="shared" si="0"/>
        <v>26</v>
      </c>
    </row>
    <row r="28" spans="1:14">
      <c r="A28" t="s">
        <v>284</v>
      </c>
      <c r="B28" t="s">
        <v>53</v>
      </c>
      <c r="C28" t="s">
        <v>285</v>
      </c>
      <c r="D28" t="s">
        <v>474</v>
      </c>
      <c r="E28" t="s">
        <v>528</v>
      </c>
      <c r="F28" t="s">
        <v>529</v>
      </c>
      <c r="G28" t="s">
        <v>474</v>
      </c>
      <c r="H28" t="s">
        <v>29</v>
      </c>
      <c r="I28" t="s">
        <v>518</v>
      </c>
      <c r="L28" s="33"/>
      <c r="M28" s="34"/>
      <c r="N28">
        <f t="shared" si="0"/>
        <v>27</v>
      </c>
    </row>
    <row r="29" spans="1:14">
      <c r="A29" t="s">
        <v>284</v>
      </c>
      <c r="B29" t="s">
        <v>53</v>
      </c>
      <c r="C29" t="s">
        <v>285</v>
      </c>
      <c r="D29" t="s">
        <v>474</v>
      </c>
      <c r="E29" t="s">
        <v>530</v>
      </c>
      <c r="F29" t="s">
        <v>531</v>
      </c>
      <c r="G29" t="s">
        <v>474</v>
      </c>
      <c r="H29" t="s">
        <v>29</v>
      </c>
      <c r="I29" t="s">
        <v>532</v>
      </c>
      <c r="L29" s="33"/>
      <c r="M29" s="34"/>
      <c r="N29">
        <f t="shared" si="0"/>
        <v>28</v>
      </c>
    </row>
    <row r="30" spans="1:14">
      <c r="A30" t="s">
        <v>284</v>
      </c>
      <c r="B30" t="s">
        <v>53</v>
      </c>
      <c r="C30" t="s">
        <v>285</v>
      </c>
      <c r="D30" t="s">
        <v>474</v>
      </c>
      <c r="E30" t="s">
        <v>533</v>
      </c>
      <c r="F30" t="s">
        <v>534</v>
      </c>
      <c r="G30" t="s">
        <v>474</v>
      </c>
      <c r="H30" t="s">
        <v>29</v>
      </c>
      <c r="I30" t="s">
        <v>535</v>
      </c>
      <c r="L30" s="33"/>
      <c r="M30" s="34"/>
      <c r="N30">
        <f t="shared" si="0"/>
        <v>29</v>
      </c>
    </row>
    <row r="31" spans="1:14">
      <c r="A31" t="s">
        <v>284</v>
      </c>
      <c r="B31" t="s">
        <v>53</v>
      </c>
      <c r="C31" t="s">
        <v>285</v>
      </c>
      <c r="D31" t="s">
        <v>466</v>
      </c>
      <c r="E31" t="s">
        <v>536</v>
      </c>
      <c r="F31" t="s">
        <v>537</v>
      </c>
      <c r="G31" t="s">
        <v>466</v>
      </c>
      <c r="H31" t="s">
        <v>29</v>
      </c>
      <c r="I31" t="s">
        <v>538</v>
      </c>
      <c r="L31" s="33"/>
      <c r="M31" s="34"/>
      <c r="N31">
        <f t="shared" si="0"/>
        <v>30</v>
      </c>
    </row>
    <row r="32" spans="1:14">
      <c r="A32" t="s">
        <v>284</v>
      </c>
      <c r="B32" t="s">
        <v>53</v>
      </c>
      <c r="C32" t="s">
        <v>285</v>
      </c>
      <c r="D32" t="s">
        <v>474</v>
      </c>
      <c r="E32" t="s">
        <v>539</v>
      </c>
      <c r="F32" t="s">
        <v>540</v>
      </c>
      <c r="G32" t="s">
        <v>474</v>
      </c>
      <c r="H32" t="s">
        <v>29</v>
      </c>
      <c r="I32" t="s">
        <v>541</v>
      </c>
      <c r="L32" s="33"/>
      <c r="M32" s="34"/>
      <c r="N32">
        <f t="shared" si="0"/>
        <v>31</v>
      </c>
    </row>
    <row r="33" spans="1:14">
      <c r="A33" t="s">
        <v>284</v>
      </c>
      <c r="B33" t="s">
        <v>53</v>
      </c>
      <c r="C33" t="s">
        <v>285</v>
      </c>
      <c r="D33" t="s">
        <v>474</v>
      </c>
      <c r="E33" t="s">
        <v>542</v>
      </c>
      <c r="F33" t="s">
        <v>543</v>
      </c>
      <c r="G33" t="s">
        <v>474</v>
      </c>
      <c r="H33" t="s">
        <v>29</v>
      </c>
      <c r="I33" t="s">
        <v>544</v>
      </c>
      <c r="L33" s="33"/>
      <c r="M33" s="34"/>
      <c r="N33">
        <f t="shared" si="0"/>
        <v>32</v>
      </c>
    </row>
    <row r="34" spans="1:14">
      <c r="A34" t="s">
        <v>284</v>
      </c>
      <c r="B34" t="s">
        <v>53</v>
      </c>
      <c r="C34" t="s">
        <v>285</v>
      </c>
      <c r="D34" t="s">
        <v>474</v>
      </c>
      <c r="E34" t="s">
        <v>545</v>
      </c>
      <c r="F34" t="s">
        <v>546</v>
      </c>
      <c r="G34" t="s">
        <v>474</v>
      </c>
      <c r="H34" t="s">
        <v>29</v>
      </c>
      <c r="I34" t="s">
        <v>547</v>
      </c>
      <c r="L34" s="33"/>
      <c r="M34" s="34"/>
      <c r="N34">
        <f t="shared" si="0"/>
        <v>33</v>
      </c>
    </row>
    <row r="35" spans="1:14">
      <c r="A35" t="s">
        <v>284</v>
      </c>
      <c r="B35" t="s">
        <v>53</v>
      </c>
      <c r="C35" t="s">
        <v>285</v>
      </c>
      <c r="D35" t="s">
        <v>466</v>
      </c>
      <c r="E35" t="s">
        <v>548</v>
      </c>
      <c r="F35" t="s">
        <v>549</v>
      </c>
      <c r="G35" t="s">
        <v>480</v>
      </c>
      <c r="H35" t="s">
        <v>29</v>
      </c>
      <c r="I35" t="s">
        <v>550</v>
      </c>
      <c r="L35" s="33"/>
      <c r="M35" s="34"/>
      <c r="N35">
        <f t="shared" si="0"/>
        <v>34</v>
      </c>
    </row>
    <row r="36" spans="1:14">
      <c r="A36" t="s">
        <v>284</v>
      </c>
      <c r="B36" t="s">
        <v>53</v>
      </c>
      <c r="C36" t="s">
        <v>285</v>
      </c>
      <c r="D36" t="s">
        <v>466</v>
      </c>
      <c r="E36" t="s">
        <v>551</v>
      </c>
      <c r="F36" t="s">
        <v>552</v>
      </c>
      <c r="G36" t="s">
        <v>466</v>
      </c>
      <c r="H36" t="s">
        <v>29</v>
      </c>
      <c r="I36" t="s">
        <v>550</v>
      </c>
      <c r="L36" s="33"/>
      <c r="M36" s="34"/>
      <c r="N36">
        <f t="shared" si="0"/>
        <v>35</v>
      </c>
    </row>
    <row r="37" spans="1:14">
      <c r="A37" t="s">
        <v>290</v>
      </c>
      <c r="B37" s="28" t="s">
        <v>53</v>
      </c>
      <c r="C37" t="s">
        <v>291</v>
      </c>
      <c r="D37" t="s">
        <v>466</v>
      </c>
      <c r="E37" t="s">
        <v>553</v>
      </c>
      <c r="F37" t="s">
        <v>554</v>
      </c>
      <c r="G37" t="s">
        <v>466</v>
      </c>
      <c r="H37" t="s">
        <v>29</v>
      </c>
      <c r="I37" t="s">
        <v>555</v>
      </c>
      <c r="L37" s="33"/>
      <c r="M37" s="34"/>
      <c r="N37">
        <f t="shared" si="0"/>
        <v>36</v>
      </c>
    </row>
    <row r="38" spans="1:14">
      <c r="A38" t="s">
        <v>290</v>
      </c>
      <c r="B38" t="s">
        <v>53</v>
      </c>
      <c r="C38" t="s">
        <v>291</v>
      </c>
      <c r="D38" t="s">
        <v>474</v>
      </c>
      <c r="E38" t="s">
        <v>556</v>
      </c>
      <c r="F38" t="s">
        <v>557</v>
      </c>
      <c r="G38" t="s">
        <v>474</v>
      </c>
      <c r="H38" t="s">
        <v>29</v>
      </c>
      <c r="I38" t="s">
        <v>558</v>
      </c>
      <c r="L38" s="33"/>
      <c r="M38" s="34"/>
      <c r="N38">
        <f t="shared" si="0"/>
        <v>37</v>
      </c>
    </row>
    <row r="39" spans="1:14">
      <c r="A39" t="s">
        <v>287</v>
      </c>
      <c r="B39" t="s">
        <v>53</v>
      </c>
      <c r="C39" t="s">
        <v>288</v>
      </c>
      <c r="D39" t="s">
        <v>484</v>
      </c>
      <c r="E39" t="s">
        <v>559</v>
      </c>
      <c r="F39" t="s">
        <v>560</v>
      </c>
      <c r="G39" t="s">
        <v>484</v>
      </c>
      <c r="H39" t="s">
        <v>29</v>
      </c>
      <c r="I39" t="s">
        <v>561</v>
      </c>
      <c r="L39" s="33"/>
      <c r="M39" s="34"/>
      <c r="N39">
        <f t="shared" si="0"/>
        <v>38</v>
      </c>
    </row>
    <row r="40" spans="1:14">
      <c r="A40" t="s">
        <v>287</v>
      </c>
      <c r="B40" t="s">
        <v>53</v>
      </c>
      <c r="C40" t="s">
        <v>288</v>
      </c>
      <c r="D40" t="s">
        <v>466</v>
      </c>
      <c r="E40" t="s">
        <v>562</v>
      </c>
      <c r="F40" t="s">
        <v>563</v>
      </c>
      <c r="G40" t="s">
        <v>466</v>
      </c>
      <c r="H40" t="s">
        <v>29</v>
      </c>
      <c r="I40" t="s">
        <v>564</v>
      </c>
      <c r="L40" s="33"/>
      <c r="M40" s="34"/>
      <c r="N40">
        <f t="shared" si="0"/>
        <v>39</v>
      </c>
    </row>
    <row r="41" spans="1:14">
      <c r="A41" t="s">
        <v>287</v>
      </c>
      <c r="B41" t="s">
        <v>53</v>
      </c>
      <c r="C41" t="s">
        <v>288</v>
      </c>
      <c r="D41" t="s">
        <v>466</v>
      </c>
      <c r="E41" t="s">
        <v>565</v>
      </c>
      <c r="F41" t="s">
        <v>566</v>
      </c>
      <c r="G41" t="s">
        <v>466</v>
      </c>
      <c r="H41" t="s">
        <v>29</v>
      </c>
      <c r="I41" t="s">
        <v>567</v>
      </c>
      <c r="L41" s="33"/>
      <c r="M41" s="34"/>
      <c r="N41">
        <f t="shared" si="0"/>
        <v>40</v>
      </c>
    </row>
    <row r="42" spans="1:14">
      <c r="A42" t="s">
        <v>287</v>
      </c>
      <c r="B42" t="s">
        <v>53</v>
      </c>
      <c r="C42" t="s">
        <v>288</v>
      </c>
      <c r="D42" t="s">
        <v>466</v>
      </c>
      <c r="E42" t="s">
        <v>568</v>
      </c>
      <c r="F42" t="s">
        <v>569</v>
      </c>
      <c r="G42" t="s">
        <v>466</v>
      </c>
      <c r="H42" t="s">
        <v>29</v>
      </c>
      <c r="I42" t="s">
        <v>570</v>
      </c>
      <c r="L42" s="33"/>
      <c r="M42" s="34"/>
      <c r="N42">
        <f t="shared" si="0"/>
        <v>41</v>
      </c>
    </row>
    <row r="43" spans="1:14">
      <c r="A43" t="s">
        <v>287</v>
      </c>
      <c r="B43" t="s">
        <v>53</v>
      </c>
      <c r="C43" t="s">
        <v>288</v>
      </c>
      <c r="D43" t="s">
        <v>466</v>
      </c>
      <c r="E43" t="s">
        <v>571</v>
      </c>
      <c r="F43" t="s">
        <v>572</v>
      </c>
      <c r="G43" t="s">
        <v>466</v>
      </c>
      <c r="H43" t="s">
        <v>29</v>
      </c>
      <c r="I43" t="s">
        <v>573</v>
      </c>
      <c r="L43" s="33"/>
      <c r="M43" s="34"/>
      <c r="N43">
        <f t="shared" si="0"/>
        <v>42</v>
      </c>
    </row>
    <row r="44" spans="1:14">
      <c r="A44" t="s">
        <v>287</v>
      </c>
      <c r="B44" t="s">
        <v>53</v>
      </c>
      <c r="C44" t="s">
        <v>288</v>
      </c>
      <c r="D44" t="s">
        <v>484</v>
      </c>
      <c r="E44" t="s">
        <v>574</v>
      </c>
      <c r="F44" t="s">
        <v>575</v>
      </c>
      <c r="G44" t="s">
        <v>484</v>
      </c>
      <c r="H44" t="s">
        <v>29</v>
      </c>
      <c r="I44" t="s">
        <v>576</v>
      </c>
      <c r="L44" s="33"/>
      <c r="M44" s="34"/>
      <c r="N44">
        <f t="shared" si="0"/>
        <v>43</v>
      </c>
    </row>
    <row r="45" spans="1:14">
      <c r="A45" t="s">
        <v>287</v>
      </c>
      <c r="B45" t="s">
        <v>53</v>
      </c>
      <c r="C45" t="s">
        <v>288</v>
      </c>
      <c r="D45" t="s">
        <v>577</v>
      </c>
      <c r="E45" t="s">
        <v>578</v>
      </c>
      <c r="F45" t="s">
        <v>579</v>
      </c>
      <c r="G45" t="s">
        <v>577</v>
      </c>
      <c r="H45" t="s">
        <v>29</v>
      </c>
      <c r="I45" t="s">
        <v>580</v>
      </c>
      <c r="L45" s="33"/>
      <c r="M45" s="34"/>
      <c r="N45">
        <f t="shared" si="0"/>
        <v>44</v>
      </c>
    </row>
    <row r="46" spans="1:14">
      <c r="A46" t="s">
        <v>287</v>
      </c>
      <c r="B46" t="s">
        <v>53</v>
      </c>
      <c r="C46" t="s">
        <v>288</v>
      </c>
      <c r="D46" t="s">
        <v>466</v>
      </c>
      <c r="E46" t="s">
        <v>581</v>
      </c>
      <c r="F46" t="s">
        <v>582</v>
      </c>
      <c r="G46" t="s">
        <v>466</v>
      </c>
      <c r="H46" t="s">
        <v>29</v>
      </c>
      <c r="I46" t="s">
        <v>583</v>
      </c>
      <c r="L46" s="33"/>
      <c r="M46" s="34"/>
      <c r="N46">
        <f t="shared" si="0"/>
        <v>45</v>
      </c>
    </row>
    <row r="47" spans="1:14">
      <c r="A47" t="s">
        <v>287</v>
      </c>
      <c r="B47" t="s">
        <v>53</v>
      </c>
      <c r="C47" t="s">
        <v>288</v>
      </c>
      <c r="D47" t="s">
        <v>466</v>
      </c>
      <c r="E47" t="s">
        <v>584</v>
      </c>
      <c r="F47" t="s">
        <v>585</v>
      </c>
      <c r="G47" t="s">
        <v>466</v>
      </c>
      <c r="H47" t="s">
        <v>29</v>
      </c>
      <c r="I47" t="s">
        <v>586</v>
      </c>
      <c r="L47" s="33"/>
      <c r="M47" s="34"/>
      <c r="N47">
        <f t="shared" si="0"/>
        <v>46</v>
      </c>
    </row>
    <row r="48" spans="1:14">
      <c r="A48" t="s">
        <v>287</v>
      </c>
      <c r="B48" t="s">
        <v>53</v>
      </c>
      <c r="C48" t="s">
        <v>288</v>
      </c>
      <c r="D48" t="s">
        <v>466</v>
      </c>
      <c r="E48" t="s">
        <v>587</v>
      </c>
      <c r="F48" t="s">
        <v>588</v>
      </c>
      <c r="G48" t="s">
        <v>466</v>
      </c>
      <c r="H48" t="s">
        <v>29</v>
      </c>
      <c r="I48" t="s">
        <v>589</v>
      </c>
      <c r="L48" s="33"/>
      <c r="M48" s="34"/>
      <c r="N48">
        <f t="shared" si="0"/>
        <v>47</v>
      </c>
    </row>
    <row r="49" spans="1:14">
      <c r="A49" t="s">
        <v>287</v>
      </c>
      <c r="B49" t="s">
        <v>53</v>
      </c>
      <c r="C49" t="s">
        <v>288</v>
      </c>
      <c r="D49" t="s">
        <v>466</v>
      </c>
      <c r="E49" t="s">
        <v>590</v>
      </c>
      <c r="F49" t="s">
        <v>591</v>
      </c>
      <c r="G49" t="s">
        <v>466</v>
      </c>
      <c r="H49" t="s">
        <v>29</v>
      </c>
      <c r="I49" t="s">
        <v>592</v>
      </c>
      <c r="L49" s="33"/>
      <c r="M49" s="34"/>
      <c r="N49">
        <f t="shared" si="0"/>
        <v>48</v>
      </c>
    </row>
    <row r="50" spans="1:14">
      <c r="A50" t="s">
        <v>287</v>
      </c>
      <c r="B50" t="s">
        <v>53</v>
      </c>
      <c r="C50" t="s">
        <v>288</v>
      </c>
      <c r="D50" t="s">
        <v>466</v>
      </c>
      <c r="E50" t="s">
        <v>593</v>
      </c>
      <c r="F50" t="s">
        <v>594</v>
      </c>
      <c r="G50" t="s">
        <v>466</v>
      </c>
      <c r="H50" t="s">
        <v>29</v>
      </c>
      <c r="I50" t="s">
        <v>595</v>
      </c>
      <c r="L50" s="33"/>
      <c r="M50" s="34"/>
      <c r="N50">
        <f t="shared" si="0"/>
        <v>49</v>
      </c>
    </row>
    <row r="51" spans="1:14">
      <c r="A51" t="s">
        <v>287</v>
      </c>
      <c r="B51" t="s">
        <v>53</v>
      </c>
      <c r="C51" t="s">
        <v>288</v>
      </c>
      <c r="D51" t="s">
        <v>486</v>
      </c>
      <c r="E51" t="s">
        <v>596</v>
      </c>
      <c r="F51" t="s">
        <v>597</v>
      </c>
      <c r="G51" t="s">
        <v>486</v>
      </c>
      <c r="H51" t="s">
        <v>29</v>
      </c>
      <c r="I51" t="s">
        <v>518</v>
      </c>
      <c r="L51" s="33"/>
      <c r="M51" s="34"/>
      <c r="N51">
        <f t="shared" si="0"/>
        <v>50</v>
      </c>
    </row>
    <row r="52" spans="1:14">
      <c r="A52" t="s">
        <v>287</v>
      </c>
      <c r="B52" t="s">
        <v>53</v>
      </c>
      <c r="C52" t="s">
        <v>288</v>
      </c>
      <c r="D52" t="s">
        <v>466</v>
      </c>
      <c r="E52" t="s">
        <v>598</v>
      </c>
      <c r="F52" t="s">
        <v>599</v>
      </c>
      <c r="G52" t="s">
        <v>466</v>
      </c>
      <c r="H52" t="s">
        <v>29</v>
      </c>
      <c r="I52" t="s">
        <v>600</v>
      </c>
      <c r="L52" s="33"/>
      <c r="M52" s="34"/>
      <c r="N52">
        <f t="shared" si="0"/>
        <v>51</v>
      </c>
    </row>
    <row r="53" spans="1:14">
      <c r="A53" t="s">
        <v>294</v>
      </c>
      <c r="B53" t="s">
        <v>53</v>
      </c>
      <c r="C53" t="s">
        <v>295</v>
      </c>
      <c r="D53" t="s">
        <v>474</v>
      </c>
      <c r="E53" t="s">
        <v>601</v>
      </c>
      <c r="F53" t="s">
        <v>602</v>
      </c>
      <c r="G53" t="s">
        <v>474</v>
      </c>
      <c r="H53" t="s">
        <v>53</v>
      </c>
      <c r="I53" t="s">
        <v>603</v>
      </c>
      <c r="L53" s="33"/>
      <c r="M53" s="34"/>
      <c r="N53">
        <f t="shared" si="0"/>
        <v>52</v>
      </c>
    </row>
    <row r="54" spans="1:14">
      <c r="A54" t="s">
        <v>294</v>
      </c>
      <c r="B54" t="s">
        <v>53</v>
      </c>
      <c r="C54" t="s">
        <v>295</v>
      </c>
      <c r="D54" t="s">
        <v>474</v>
      </c>
      <c r="E54" t="s">
        <v>604</v>
      </c>
      <c r="F54" t="s">
        <v>605</v>
      </c>
      <c r="G54" t="s">
        <v>474</v>
      </c>
      <c r="H54" t="s">
        <v>53</v>
      </c>
      <c r="I54" t="s">
        <v>603</v>
      </c>
      <c r="L54" s="33"/>
      <c r="M54" s="34"/>
      <c r="N54">
        <f t="shared" si="0"/>
        <v>53</v>
      </c>
    </row>
    <row r="55" spans="1:14">
      <c r="A55" t="s">
        <v>298</v>
      </c>
      <c r="B55" t="s">
        <v>53</v>
      </c>
      <c r="C55" t="s">
        <v>299</v>
      </c>
      <c r="D55" t="s">
        <v>156</v>
      </c>
      <c r="E55" t="s">
        <v>606</v>
      </c>
      <c r="F55" t="s">
        <v>607</v>
      </c>
      <c r="G55" t="s">
        <v>156</v>
      </c>
      <c r="H55" t="s">
        <v>53</v>
      </c>
      <c r="I55" t="s">
        <v>608</v>
      </c>
      <c r="L55" s="33"/>
      <c r="M55" s="34"/>
      <c r="N55">
        <f t="shared" si="0"/>
        <v>54</v>
      </c>
    </row>
    <row r="56" spans="1:14">
      <c r="A56" t="s">
        <v>298</v>
      </c>
      <c r="B56" t="s">
        <v>53</v>
      </c>
      <c r="C56" t="s">
        <v>299</v>
      </c>
      <c r="D56" t="s">
        <v>156</v>
      </c>
      <c r="E56" t="s">
        <v>609</v>
      </c>
      <c r="F56" t="s">
        <v>610</v>
      </c>
      <c r="G56" t="s">
        <v>156</v>
      </c>
      <c r="H56" t="s">
        <v>53</v>
      </c>
      <c r="I56" t="s">
        <v>611</v>
      </c>
      <c r="L56" s="33"/>
      <c r="M56" s="34"/>
      <c r="N56">
        <f t="shared" si="0"/>
        <v>55</v>
      </c>
    </row>
    <row r="57" spans="1:14">
      <c r="A57" t="s">
        <v>298</v>
      </c>
      <c r="B57" t="s">
        <v>53</v>
      </c>
      <c r="C57" t="s">
        <v>299</v>
      </c>
      <c r="D57" t="s">
        <v>156</v>
      </c>
      <c r="E57" t="s">
        <v>612</v>
      </c>
      <c r="F57" t="s">
        <v>613</v>
      </c>
      <c r="G57" t="s">
        <v>156</v>
      </c>
      <c r="H57" t="s">
        <v>53</v>
      </c>
      <c r="I57" t="s">
        <v>614</v>
      </c>
      <c r="L57" s="33"/>
      <c r="M57" s="34"/>
      <c r="N57">
        <f t="shared" si="0"/>
        <v>56</v>
      </c>
    </row>
    <row r="58" spans="1:14">
      <c r="A58" t="s">
        <v>298</v>
      </c>
      <c r="B58" t="s">
        <v>53</v>
      </c>
      <c r="C58" t="s">
        <v>299</v>
      </c>
      <c r="D58" t="s">
        <v>156</v>
      </c>
      <c r="E58" t="s">
        <v>615</v>
      </c>
      <c r="F58" t="s">
        <v>616</v>
      </c>
      <c r="G58" t="s">
        <v>156</v>
      </c>
      <c r="H58" t="s">
        <v>53</v>
      </c>
      <c r="I58" t="s">
        <v>617</v>
      </c>
      <c r="L58" s="33"/>
      <c r="M58" s="34"/>
      <c r="N58">
        <f t="shared" si="0"/>
        <v>57</v>
      </c>
    </row>
    <row r="59" spans="1:14">
      <c r="A59" t="s">
        <v>298</v>
      </c>
      <c r="B59" t="s">
        <v>53</v>
      </c>
      <c r="C59" t="s">
        <v>299</v>
      </c>
      <c r="D59" t="s">
        <v>156</v>
      </c>
      <c r="E59" t="s">
        <v>618</v>
      </c>
      <c r="F59" t="s">
        <v>619</v>
      </c>
      <c r="G59" t="s">
        <v>156</v>
      </c>
      <c r="H59" t="s">
        <v>53</v>
      </c>
      <c r="I59" t="s">
        <v>620</v>
      </c>
      <c r="L59" s="33"/>
      <c r="M59" s="34"/>
      <c r="N59">
        <f t="shared" si="0"/>
        <v>58</v>
      </c>
    </row>
    <row r="60" spans="1:14">
      <c r="A60" t="s">
        <v>298</v>
      </c>
      <c r="B60" t="s">
        <v>53</v>
      </c>
      <c r="C60" t="s">
        <v>299</v>
      </c>
      <c r="D60" t="s">
        <v>156</v>
      </c>
      <c r="E60" t="s">
        <v>621</v>
      </c>
      <c r="F60" t="s">
        <v>622</v>
      </c>
      <c r="G60" t="s">
        <v>156</v>
      </c>
      <c r="H60" t="s">
        <v>53</v>
      </c>
      <c r="I60" t="s">
        <v>620</v>
      </c>
      <c r="L60" s="33"/>
      <c r="M60" s="34"/>
      <c r="N60">
        <f t="shared" si="0"/>
        <v>59</v>
      </c>
    </row>
    <row r="61" spans="1:14">
      <c r="A61" t="s">
        <v>298</v>
      </c>
      <c r="B61" t="s">
        <v>53</v>
      </c>
      <c r="C61" t="s">
        <v>299</v>
      </c>
      <c r="D61" t="s">
        <v>156</v>
      </c>
      <c r="E61" t="s">
        <v>623</v>
      </c>
      <c r="F61" t="s">
        <v>624</v>
      </c>
      <c r="G61" t="s">
        <v>156</v>
      </c>
      <c r="H61" t="s">
        <v>53</v>
      </c>
      <c r="I61" t="s">
        <v>625</v>
      </c>
      <c r="L61" s="33"/>
      <c r="M61" s="34"/>
      <c r="N61">
        <f t="shared" si="0"/>
        <v>60</v>
      </c>
    </row>
    <row r="62" spans="1:14">
      <c r="A62" t="s">
        <v>298</v>
      </c>
      <c r="B62" t="s">
        <v>53</v>
      </c>
      <c r="C62" t="s">
        <v>299</v>
      </c>
      <c r="D62" t="s">
        <v>156</v>
      </c>
      <c r="E62" t="s">
        <v>626</v>
      </c>
      <c r="F62" t="s">
        <v>627</v>
      </c>
      <c r="G62" t="s">
        <v>156</v>
      </c>
      <c r="H62" t="s">
        <v>53</v>
      </c>
      <c r="I62" t="s">
        <v>628</v>
      </c>
      <c r="L62" s="33"/>
      <c r="M62" s="34"/>
      <c r="N62">
        <f t="shared" si="0"/>
        <v>61</v>
      </c>
    </row>
    <row r="63" spans="1:14">
      <c r="A63" t="s">
        <v>298</v>
      </c>
      <c r="B63" t="s">
        <v>53</v>
      </c>
      <c r="C63" t="s">
        <v>299</v>
      </c>
      <c r="D63" t="s">
        <v>156</v>
      </c>
      <c r="E63" t="s">
        <v>629</v>
      </c>
      <c r="F63" t="s">
        <v>630</v>
      </c>
      <c r="G63" t="s">
        <v>156</v>
      </c>
      <c r="H63" t="s">
        <v>53</v>
      </c>
      <c r="I63" t="s">
        <v>631</v>
      </c>
      <c r="L63" s="33"/>
      <c r="M63" s="34"/>
      <c r="N63">
        <f t="shared" si="0"/>
        <v>62</v>
      </c>
    </row>
    <row r="64" spans="1:14">
      <c r="A64" t="s">
        <v>298</v>
      </c>
      <c r="B64" t="s">
        <v>53</v>
      </c>
      <c r="C64" t="s">
        <v>299</v>
      </c>
      <c r="D64" t="s">
        <v>156</v>
      </c>
      <c r="E64" t="s">
        <v>632</v>
      </c>
      <c r="F64" t="s">
        <v>633</v>
      </c>
      <c r="G64" t="s">
        <v>156</v>
      </c>
      <c r="H64" t="s">
        <v>53</v>
      </c>
      <c r="I64" t="s">
        <v>634</v>
      </c>
      <c r="L64" s="33"/>
      <c r="M64" s="34"/>
      <c r="N64">
        <f t="shared" si="0"/>
        <v>63</v>
      </c>
    </row>
    <row r="65" spans="1:14">
      <c r="A65" t="s">
        <v>298</v>
      </c>
      <c r="B65" t="s">
        <v>53</v>
      </c>
      <c r="C65" t="s">
        <v>299</v>
      </c>
      <c r="D65" t="s">
        <v>156</v>
      </c>
      <c r="E65" t="s">
        <v>635</v>
      </c>
      <c r="F65" t="s">
        <v>636</v>
      </c>
      <c r="G65" t="s">
        <v>156</v>
      </c>
      <c r="H65" t="s">
        <v>53</v>
      </c>
      <c r="I65" t="s">
        <v>637</v>
      </c>
      <c r="L65" s="33"/>
      <c r="M65" s="34"/>
      <c r="N65">
        <f t="shared" si="0"/>
        <v>64</v>
      </c>
    </row>
    <row r="66" spans="1:14">
      <c r="A66" t="s">
        <v>298</v>
      </c>
      <c r="B66" t="s">
        <v>53</v>
      </c>
      <c r="C66" t="s">
        <v>299</v>
      </c>
      <c r="D66" t="s">
        <v>156</v>
      </c>
      <c r="E66" t="s">
        <v>638</v>
      </c>
      <c r="F66" t="s">
        <v>639</v>
      </c>
      <c r="G66" t="s">
        <v>156</v>
      </c>
      <c r="H66" t="s">
        <v>53</v>
      </c>
      <c r="I66" t="s">
        <v>640</v>
      </c>
      <c r="L66" s="33"/>
      <c r="M66" s="34"/>
      <c r="N66">
        <f t="shared" ref="N66:N129" si="1">IFERROR(VALUE(MID(E66,3,5)),"")</f>
        <v>65</v>
      </c>
    </row>
    <row r="67" spans="1:14">
      <c r="A67" t="s">
        <v>298</v>
      </c>
      <c r="B67" t="s">
        <v>53</v>
      </c>
      <c r="C67" t="s">
        <v>299</v>
      </c>
      <c r="D67" t="s">
        <v>486</v>
      </c>
      <c r="E67" t="s">
        <v>641</v>
      </c>
      <c r="F67" t="s">
        <v>642</v>
      </c>
      <c r="G67" t="s">
        <v>486</v>
      </c>
      <c r="H67" t="s">
        <v>53</v>
      </c>
      <c r="I67" t="s">
        <v>643</v>
      </c>
      <c r="L67" s="33"/>
      <c r="M67" s="34"/>
      <c r="N67">
        <f t="shared" si="1"/>
        <v>66</v>
      </c>
    </row>
    <row r="68" spans="1:14">
      <c r="A68" t="s">
        <v>195</v>
      </c>
      <c r="B68" t="s">
        <v>207</v>
      </c>
      <c r="C68" t="s">
        <v>196</v>
      </c>
      <c r="D68" t="s">
        <v>644</v>
      </c>
      <c r="E68" t="s">
        <v>645</v>
      </c>
      <c r="F68" t="s">
        <v>646</v>
      </c>
      <c r="G68" t="s">
        <v>484</v>
      </c>
      <c r="H68" t="s">
        <v>29</v>
      </c>
      <c r="I68"/>
      <c r="L68" s="33"/>
      <c r="M68" s="34"/>
      <c r="N68">
        <f t="shared" si="1"/>
        <v>67</v>
      </c>
    </row>
    <row r="69" spans="1:14">
      <c r="A69" t="s">
        <v>195</v>
      </c>
      <c r="B69" t="s">
        <v>207</v>
      </c>
      <c r="C69" t="s">
        <v>196</v>
      </c>
      <c r="D69" t="s">
        <v>644</v>
      </c>
      <c r="E69" t="s">
        <v>647</v>
      </c>
      <c r="F69" t="s">
        <v>648</v>
      </c>
      <c r="G69" t="s">
        <v>484</v>
      </c>
      <c r="H69" t="s">
        <v>29</v>
      </c>
      <c r="I69"/>
      <c r="L69" s="33"/>
      <c r="M69" s="34"/>
      <c r="N69">
        <f t="shared" si="1"/>
        <v>68</v>
      </c>
    </row>
    <row r="70" spans="1:14">
      <c r="A70" t="s">
        <v>195</v>
      </c>
      <c r="B70" t="s">
        <v>207</v>
      </c>
      <c r="C70" t="s">
        <v>196</v>
      </c>
      <c r="D70" t="s">
        <v>644</v>
      </c>
      <c r="E70" t="s">
        <v>649</v>
      </c>
      <c r="F70" t="s">
        <v>650</v>
      </c>
      <c r="G70" t="s">
        <v>484</v>
      </c>
      <c r="H70" t="s">
        <v>29</v>
      </c>
      <c r="I70"/>
      <c r="L70" s="33"/>
      <c r="M70" s="34"/>
      <c r="N70">
        <f t="shared" si="1"/>
        <v>69</v>
      </c>
    </row>
    <row r="71" spans="1:14">
      <c r="A71" t="s">
        <v>195</v>
      </c>
      <c r="B71" t="s">
        <v>207</v>
      </c>
      <c r="C71" t="s">
        <v>196</v>
      </c>
      <c r="D71" t="s">
        <v>644</v>
      </c>
      <c r="E71" t="s">
        <v>651</v>
      </c>
      <c r="F71" t="s">
        <v>652</v>
      </c>
      <c r="G71" t="s">
        <v>484</v>
      </c>
      <c r="H71" t="s">
        <v>29</v>
      </c>
      <c r="I71"/>
      <c r="L71" s="33"/>
      <c r="M71" s="34"/>
      <c r="N71">
        <f t="shared" si="1"/>
        <v>70</v>
      </c>
    </row>
    <row r="72" spans="1:14">
      <c r="A72" t="s">
        <v>195</v>
      </c>
      <c r="B72" t="s">
        <v>207</v>
      </c>
      <c r="C72" t="s">
        <v>196</v>
      </c>
      <c r="D72" t="s">
        <v>644</v>
      </c>
      <c r="E72" t="s">
        <v>653</v>
      </c>
      <c r="F72" t="s">
        <v>654</v>
      </c>
      <c r="G72" t="s">
        <v>441</v>
      </c>
      <c r="H72" t="s">
        <v>29</v>
      </c>
      <c r="I72"/>
      <c r="L72" s="33"/>
      <c r="M72" s="34"/>
      <c r="N72">
        <f t="shared" si="1"/>
        <v>71</v>
      </c>
    </row>
    <row r="73" spans="1:14">
      <c r="A73" t="s">
        <v>195</v>
      </c>
      <c r="B73" t="s">
        <v>207</v>
      </c>
      <c r="C73" t="s">
        <v>196</v>
      </c>
      <c r="D73" t="s">
        <v>644</v>
      </c>
      <c r="E73" t="s">
        <v>655</v>
      </c>
      <c r="F73" t="s">
        <v>656</v>
      </c>
      <c r="G73" t="s">
        <v>156</v>
      </c>
      <c r="H73" t="s">
        <v>29</v>
      </c>
      <c r="I73"/>
      <c r="L73" s="33"/>
      <c r="M73" s="34"/>
      <c r="N73">
        <f t="shared" si="1"/>
        <v>72</v>
      </c>
    </row>
    <row r="74" spans="1:14">
      <c r="A74" t="s">
        <v>195</v>
      </c>
      <c r="B74" t="s">
        <v>207</v>
      </c>
      <c r="C74" t="s">
        <v>196</v>
      </c>
      <c r="D74" t="s">
        <v>644</v>
      </c>
      <c r="E74" t="s">
        <v>657</v>
      </c>
      <c r="F74" t="s">
        <v>658</v>
      </c>
      <c r="G74" t="s">
        <v>156</v>
      </c>
      <c r="H74" t="s">
        <v>29</v>
      </c>
      <c r="I74"/>
      <c r="L74" s="33"/>
      <c r="M74" s="34"/>
      <c r="N74">
        <f t="shared" si="1"/>
        <v>73</v>
      </c>
    </row>
    <row r="75" spans="1:14">
      <c r="A75" t="s">
        <v>195</v>
      </c>
      <c r="B75" t="s">
        <v>207</v>
      </c>
      <c r="C75" t="s">
        <v>196</v>
      </c>
      <c r="D75" t="s">
        <v>644</v>
      </c>
      <c r="E75" t="s">
        <v>659</v>
      </c>
      <c r="F75" t="s">
        <v>660</v>
      </c>
      <c r="G75" t="s">
        <v>156</v>
      </c>
      <c r="H75" t="s">
        <v>29</v>
      </c>
      <c r="I75"/>
      <c r="L75" s="33"/>
      <c r="M75" s="34"/>
      <c r="N75">
        <f t="shared" si="1"/>
        <v>74</v>
      </c>
    </row>
    <row r="76" spans="1:14">
      <c r="A76" t="s">
        <v>195</v>
      </c>
      <c r="B76" t="s">
        <v>207</v>
      </c>
      <c r="C76" t="s">
        <v>196</v>
      </c>
      <c r="D76" t="s">
        <v>644</v>
      </c>
      <c r="E76" t="s">
        <v>661</v>
      </c>
      <c r="F76" t="s">
        <v>662</v>
      </c>
      <c r="G76" t="s">
        <v>156</v>
      </c>
      <c r="H76" t="s">
        <v>29</v>
      </c>
      <c r="I76"/>
      <c r="L76" s="33"/>
      <c r="M76" s="34"/>
      <c r="N76">
        <f t="shared" si="1"/>
        <v>75</v>
      </c>
    </row>
    <row r="77" spans="1:14">
      <c r="A77" t="s">
        <v>195</v>
      </c>
      <c r="B77" t="s">
        <v>207</v>
      </c>
      <c r="C77" t="s">
        <v>196</v>
      </c>
      <c r="D77" t="s">
        <v>644</v>
      </c>
      <c r="E77" t="s">
        <v>663</v>
      </c>
      <c r="F77" t="s">
        <v>664</v>
      </c>
      <c r="G77" t="s">
        <v>665</v>
      </c>
      <c r="H77" t="s">
        <v>29</v>
      </c>
      <c r="I77"/>
      <c r="L77" s="33"/>
      <c r="M77" s="34"/>
      <c r="N77">
        <f t="shared" si="1"/>
        <v>76</v>
      </c>
    </row>
    <row r="78" spans="1:14">
      <c r="A78" t="s">
        <v>195</v>
      </c>
      <c r="B78" t="s">
        <v>207</v>
      </c>
      <c r="C78" t="s">
        <v>196</v>
      </c>
      <c r="D78" t="s">
        <v>644</v>
      </c>
      <c r="E78" t="s">
        <v>666</v>
      </c>
      <c r="F78" t="s">
        <v>667</v>
      </c>
      <c r="G78" t="s">
        <v>156</v>
      </c>
      <c r="H78" t="s">
        <v>29</v>
      </c>
      <c r="I78"/>
      <c r="L78" s="33"/>
      <c r="M78" s="34"/>
      <c r="N78">
        <f t="shared" si="1"/>
        <v>77</v>
      </c>
    </row>
    <row r="79" spans="1:14">
      <c r="A79" t="s">
        <v>195</v>
      </c>
      <c r="B79" t="s">
        <v>207</v>
      </c>
      <c r="C79" t="s">
        <v>196</v>
      </c>
      <c r="D79" t="s">
        <v>644</v>
      </c>
      <c r="E79" t="s">
        <v>668</v>
      </c>
      <c r="F79" t="s">
        <v>669</v>
      </c>
      <c r="G79" t="s">
        <v>474</v>
      </c>
      <c r="H79" t="s">
        <v>29</v>
      </c>
      <c r="I79"/>
      <c r="L79" s="33"/>
      <c r="M79" s="34"/>
      <c r="N79">
        <f t="shared" si="1"/>
        <v>78</v>
      </c>
    </row>
    <row r="80" spans="1:14">
      <c r="A80" t="s">
        <v>195</v>
      </c>
      <c r="B80" t="s">
        <v>207</v>
      </c>
      <c r="C80" t="s">
        <v>196</v>
      </c>
      <c r="D80" t="s">
        <v>644</v>
      </c>
      <c r="E80" t="s">
        <v>670</v>
      </c>
      <c r="F80" t="s">
        <v>671</v>
      </c>
      <c r="G80" t="s">
        <v>456</v>
      </c>
      <c r="H80" t="s">
        <v>29</v>
      </c>
      <c r="I80"/>
      <c r="L80" s="33"/>
      <c r="M80" s="34"/>
      <c r="N80">
        <f t="shared" si="1"/>
        <v>79</v>
      </c>
    </row>
    <row r="81" spans="1:14">
      <c r="A81" t="s">
        <v>195</v>
      </c>
      <c r="B81" t="s">
        <v>207</v>
      </c>
      <c r="C81" t="s">
        <v>196</v>
      </c>
      <c r="D81" t="s">
        <v>644</v>
      </c>
      <c r="E81" t="s">
        <v>672</v>
      </c>
      <c r="F81" t="s">
        <v>673</v>
      </c>
      <c r="G81" t="s">
        <v>456</v>
      </c>
      <c r="H81" t="s">
        <v>29</v>
      </c>
      <c r="I81"/>
      <c r="L81" s="33"/>
      <c r="M81" s="34"/>
      <c r="N81">
        <f t="shared" si="1"/>
        <v>80</v>
      </c>
    </row>
    <row r="82" spans="1:14">
      <c r="A82" t="s">
        <v>195</v>
      </c>
      <c r="B82" t="s">
        <v>207</v>
      </c>
      <c r="C82" t="s">
        <v>196</v>
      </c>
      <c r="D82" t="s">
        <v>644</v>
      </c>
      <c r="E82" t="s">
        <v>674</v>
      </c>
      <c r="F82" t="s">
        <v>675</v>
      </c>
      <c r="G82" t="s">
        <v>486</v>
      </c>
      <c r="H82" t="s">
        <v>29</v>
      </c>
      <c r="I82"/>
      <c r="L82" s="33"/>
      <c r="M82" s="34"/>
      <c r="N82">
        <f t="shared" si="1"/>
        <v>81</v>
      </c>
    </row>
    <row r="83" spans="1:14">
      <c r="A83" t="s">
        <v>195</v>
      </c>
      <c r="B83" t="s">
        <v>207</v>
      </c>
      <c r="C83" t="s">
        <v>196</v>
      </c>
      <c r="D83" t="s">
        <v>644</v>
      </c>
      <c r="E83" t="s">
        <v>676</v>
      </c>
      <c r="F83" t="s">
        <v>677</v>
      </c>
      <c r="G83" t="s">
        <v>486</v>
      </c>
      <c r="H83" t="s">
        <v>29</v>
      </c>
      <c r="I83"/>
      <c r="L83" s="33"/>
      <c r="M83" s="34"/>
      <c r="N83">
        <f t="shared" si="1"/>
        <v>82</v>
      </c>
    </row>
    <row r="84" spans="1:14">
      <c r="A84" t="s">
        <v>329</v>
      </c>
      <c r="B84" t="s">
        <v>53</v>
      </c>
      <c r="C84" t="s">
        <v>330</v>
      </c>
      <c r="D84" t="s">
        <v>274</v>
      </c>
      <c r="E84" t="s">
        <v>678</v>
      </c>
      <c r="F84" t="s">
        <v>679</v>
      </c>
      <c r="G84" t="s">
        <v>156</v>
      </c>
      <c r="H84" t="s">
        <v>29</v>
      </c>
      <c r="L84" s="33"/>
      <c r="M84" s="34"/>
      <c r="N84">
        <f t="shared" si="1"/>
        <v>83</v>
      </c>
    </row>
    <row r="85" spans="1:14">
      <c r="A85" t="s">
        <v>329</v>
      </c>
      <c r="B85" t="s">
        <v>53</v>
      </c>
      <c r="C85" t="s">
        <v>330</v>
      </c>
      <c r="D85" t="s">
        <v>274</v>
      </c>
      <c r="E85" t="s">
        <v>680</v>
      </c>
      <c r="F85" t="s">
        <v>681</v>
      </c>
      <c r="G85" t="s">
        <v>156</v>
      </c>
      <c r="H85" t="s">
        <v>29</v>
      </c>
      <c r="L85" s="33"/>
      <c r="M85" s="34"/>
      <c r="N85">
        <f t="shared" si="1"/>
        <v>84</v>
      </c>
    </row>
    <row r="86" spans="1:14">
      <c r="A86" t="s">
        <v>329</v>
      </c>
      <c r="B86" t="s">
        <v>53</v>
      </c>
      <c r="C86" t="s">
        <v>330</v>
      </c>
      <c r="D86" t="s">
        <v>274</v>
      </c>
      <c r="E86" t="s">
        <v>682</v>
      </c>
      <c r="F86" t="s">
        <v>683</v>
      </c>
      <c r="G86" t="s">
        <v>156</v>
      </c>
      <c r="H86" t="s">
        <v>29</v>
      </c>
      <c r="L86" s="33"/>
      <c r="M86" s="34"/>
      <c r="N86">
        <f t="shared" si="1"/>
        <v>85</v>
      </c>
    </row>
    <row r="87" spans="1:14">
      <c r="A87" t="s">
        <v>329</v>
      </c>
      <c r="B87" t="s">
        <v>53</v>
      </c>
      <c r="C87" t="s">
        <v>330</v>
      </c>
      <c r="D87" t="s">
        <v>274</v>
      </c>
      <c r="E87" t="s">
        <v>684</v>
      </c>
      <c r="F87" t="s">
        <v>685</v>
      </c>
      <c r="G87" t="s">
        <v>156</v>
      </c>
      <c r="H87" t="s">
        <v>29</v>
      </c>
      <c r="L87" s="33"/>
      <c r="M87" s="34"/>
      <c r="N87">
        <f t="shared" si="1"/>
        <v>86</v>
      </c>
    </row>
    <row r="88" spans="1:14">
      <c r="A88" t="s">
        <v>329</v>
      </c>
      <c r="B88" t="s">
        <v>53</v>
      </c>
      <c r="C88" t="s">
        <v>330</v>
      </c>
      <c r="D88" t="s">
        <v>274</v>
      </c>
      <c r="E88" t="s">
        <v>686</v>
      </c>
      <c r="F88" t="s">
        <v>687</v>
      </c>
      <c r="G88" t="s">
        <v>156</v>
      </c>
      <c r="H88" t="s">
        <v>29</v>
      </c>
      <c r="L88" s="33"/>
      <c r="M88" s="34"/>
      <c r="N88">
        <f t="shared" si="1"/>
        <v>87</v>
      </c>
    </row>
    <row r="89" spans="1:14">
      <c r="A89" t="s">
        <v>329</v>
      </c>
      <c r="B89" t="s">
        <v>53</v>
      </c>
      <c r="C89" t="s">
        <v>330</v>
      </c>
      <c r="D89" t="s">
        <v>274</v>
      </c>
      <c r="E89" t="s">
        <v>688</v>
      </c>
      <c r="F89" t="s">
        <v>689</v>
      </c>
      <c r="G89" t="s">
        <v>156</v>
      </c>
      <c r="H89" t="s">
        <v>29</v>
      </c>
      <c r="L89" s="33"/>
      <c r="M89" s="34"/>
      <c r="N89">
        <f t="shared" si="1"/>
        <v>88</v>
      </c>
    </row>
    <row r="90" spans="1:14">
      <c r="A90" t="s">
        <v>329</v>
      </c>
      <c r="B90" t="s">
        <v>53</v>
      </c>
      <c r="C90" t="s">
        <v>330</v>
      </c>
      <c r="D90" t="s">
        <v>274</v>
      </c>
      <c r="E90" t="s">
        <v>690</v>
      </c>
      <c r="F90" t="s">
        <v>691</v>
      </c>
      <c r="G90" t="s">
        <v>156</v>
      </c>
      <c r="H90" t="s">
        <v>29</v>
      </c>
      <c r="L90" s="33"/>
      <c r="M90" s="34"/>
      <c r="N90">
        <f t="shared" si="1"/>
        <v>89</v>
      </c>
    </row>
    <row r="91" spans="1:14">
      <c r="A91" t="s">
        <v>329</v>
      </c>
      <c r="B91" t="s">
        <v>53</v>
      </c>
      <c r="C91" t="s">
        <v>330</v>
      </c>
      <c r="D91" t="s">
        <v>274</v>
      </c>
      <c r="E91" t="s">
        <v>692</v>
      </c>
      <c r="F91" t="s">
        <v>693</v>
      </c>
      <c r="G91" t="s">
        <v>156</v>
      </c>
      <c r="H91" t="s">
        <v>29</v>
      </c>
      <c r="L91" s="33"/>
      <c r="M91" s="34"/>
      <c r="N91">
        <f t="shared" si="1"/>
        <v>90</v>
      </c>
    </row>
    <row r="92" spans="1:14">
      <c r="A92"/>
      <c r="B92"/>
      <c r="C92"/>
      <c r="D92"/>
      <c r="F92"/>
      <c r="G92"/>
      <c r="H92"/>
      <c r="I92"/>
      <c r="L92" s="33"/>
      <c r="M92" s="34"/>
      <c r="N92" t="str">
        <f t="shared" si="1"/>
        <v/>
      </c>
    </row>
    <row r="93" spans="1:14">
      <c r="A93"/>
      <c r="B93"/>
      <c r="C93"/>
      <c r="D93"/>
      <c r="F93"/>
      <c r="G93"/>
      <c r="H93"/>
      <c r="I93"/>
      <c r="L93" s="33"/>
      <c r="M93" s="34"/>
      <c r="N93" t="str">
        <f t="shared" si="1"/>
        <v/>
      </c>
    </row>
    <row r="94" spans="1:14">
      <c r="A94"/>
      <c r="B94"/>
      <c r="C94"/>
      <c r="D94"/>
      <c r="F94"/>
      <c r="G94"/>
      <c r="H94"/>
      <c r="I94"/>
      <c r="L94" s="33"/>
      <c r="M94" s="34"/>
      <c r="N94" t="str">
        <f t="shared" si="1"/>
        <v/>
      </c>
    </row>
    <row r="95" spans="1:14">
      <c r="A95"/>
      <c r="B95"/>
      <c r="C95"/>
      <c r="D95"/>
      <c r="F95"/>
      <c r="G95"/>
      <c r="H95"/>
      <c r="I95"/>
      <c r="L95" s="33"/>
      <c r="M95" s="34"/>
      <c r="N95" t="str">
        <f t="shared" si="1"/>
        <v/>
      </c>
    </row>
    <row r="96" spans="1:14">
      <c r="A96"/>
      <c r="B96"/>
      <c r="C96"/>
      <c r="D96"/>
      <c r="F96"/>
      <c r="G96"/>
      <c r="H96"/>
      <c r="I96"/>
      <c r="L96" s="33"/>
      <c r="M96" s="34"/>
      <c r="N96" t="str">
        <f t="shared" si="1"/>
        <v/>
      </c>
    </row>
    <row r="97" spans="1:14">
      <c r="A97"/>
      <c r="B97"/>
      <c r="C97"/>
      <c r="D97"/>
      <c r="F97"/>
      <c r="G97"/>
      <c r="H97"/>
      <c r="I97"/>
      <c r="L97" s="33"/>
      <c r="M97" s="34"/>
      <c r="N97" t="str">
        <f t="shared" si="1"/>
        <v/>
      </c>
    </row>
    <row r="98" spans="1:14">
      <c r="A98"/>
      <c r="B98"/>
      <c r="C98"/>
      <c r="D98"/>
      <c r="F98"/>
      <c r="G98"/>
      <c r="H98"/>
      <c r="I98"/>
      <c r="J98"/>
      <c r="L98" s="33"/>
      <c r="M98" s="34"/>
      <c r="N98" t="str">
        <f t="shared" si="1"/>
        <v/>
      </c>
    </row>
    <row r="99" spans="1:14">
      <c r="A99"/>
      <c r="B99"/>
      <c r="C99"/>
      <c r="D99"/>
      <c r="F99"/>
      <c r="G99"/>
      <c r="H99"/>
      <c r="I99"/>
      <c r="L99" s="33"/>
      <c r="M99" s="34"/>
      <c r="N99" t="str">
        <f t="shared" si="1"/>
        <v/>
      </c>
    </row>
    <row r="100" spans="1:14">
      <c r="A100"/>
      <c r="B100"/>
      <c r="C100"/>
      <c r="D100"/>
      <c r="F100"/>
      <c r="G100"/>
      <c r="H100"/>
      <c r="I100"/>
      <c r="J100"/>
      <c r="L100" s="33"/>
      <c r="M100" s="34"/>
      <c r="N100" t="str">
        <f t="shared" si="1"/>
        <v/>
      </c>
    </row>
    <row r="101" spans="1:14">
      <c r="A101"/>
      <c r="B101"/>
      <c r="C101"/>
      <c r="D101"/>
      <c r="F101"/>
      <c r="G101"/>
      <c r="H101"/>
      <c r="I101"/>
      <c r="L101" s="33"/>
      <c r="M101" s="34"/>
      <c r="N101" t="str">
        <f t="shared" si="1"/>
        <v/>
      </c>
    </row>
    <row r="102" spans="1:14">
      <c r="A102"/>
      <c r="B102"/>
      <c r="C102"/>
      <c r="D102"/>
      <c r="F102"/>
      <c r="G102"/>
      <c r="H102"/>
      <c r="I102"/>
      <c r="L102" s="33"/>
      <c r="M102" s="34"/>
      <c r="N102" t="str">
        <f t="shared" si="1"/>
        <v/>
      </c>
    </row>
    <row r="103" spans="1:14">
      <c r="A103"/>
      <c r="B103"/>
      <c r="C103"/>
      <c r="D103"/>
      <c r="F103"/>
      <c r="G103"/>
      <c r="H103"/>
      <c r="I103"/>
      <c r="L103" s="33"/>
      <c r="M103" s="34"/>
      <c r="N103" t="str">
        <f t="shared" si="1"/>
        <v/>
      </c>
    </row>
    <row r="104" spans="1:14">
      <c r="A104"/>
      <c r="B104"/>
      <c r="C104"/>
      <c r="D104"/>
      <c r="F104"/>
      <c r="G104"/>
      <c r="H104"/>
      <c r="I104"/>
      <c r="L104" s="33"/>
      <c r="M104" s="34"/>
      <c r="N104" t="str">
        <f t="shared" si="1"/>
        <v/>
      </c>
    </row>
    <row r="105" spans="1:14">
      <c r="A105"/>
      <c r="B105"/>
      <c r="C105"/>
      <c r="D105"/>
      <c r="F105"/>
      <c r="G105"/>
      <c r="H105"/>
      <c r="I105"/>
      <c r="L105" s="33"/>
      <c r="M105" s="34"/>
      <c r="N105" t="str">
        <f t="shared" si="1"/>
        <v/>
      </c>
    </row>
    <row r="106" spans="1:14">
      <c r="A106"/>
      <c r="B106"/>
      <c r="C106"/>
      <c r="D106"/>
      <c r="F106"/>
      <c r="G106"/>
      <c r="H106"/>
      <c r="I106"/>
      <c r="L106" s="33"/>
      <c r="M106" s="34"/>
      <c r="N106" t="str">
        <f t="shared" si="1"/>
        <v/>
      </c>
    </row>
    <row r="107" spans="1:14">
      <c r="A107"/>
      <c r="B107"/>
      <c r="C107"/>
      <c r="D107"/>
      <c r="F107"/>
      <c r="G107"/>
      <c r="H107"/>
      <c r="I107"/>
      <c r="L107" s="33"/>
      <c r="M107" s="34"/>
      <c r="N107" t="str">
        <f t="shared" si="1"/>
        <v/>
      </c>
    </row>
    <row r="108" spans="1:14">
      <c r="A108"/>
      <c r="B108"/>
      <c r="C108"/>
      <c r="D108"/>
      <c r="F108"/>
      <c r="G108"/>
      <c r="H108"/>
      <c r="I108"/>
      <c r="J108"/>
      <c r="L108" s="33"/>
      <c r="M108" s="34"/>
      <c r="N108" t="str">
        <f t="shared" si="1"/>
        <v/>
      </c>
    </row>
    <row r="109" spans="1:14">
      <c r="A109"/>
      <c r="B109"/>
      <c r="C109"/>
      <c r="D109"/>
      <c r="F109"/>
      <c r="G109"/>
      <c r="H109"/>
      <c r="I109"/>
      <c r="J109"/>
      <c r="L109" s="33"/>
      <c r="M109" s="34"/>
      <c r="N109" t="str">
        <f t="shared" si="1"/>
        <v/>
      </c>
    </row>
    <row r="110" spans="1:14">
      <c r="A110"/>
      <c r="B110"/>
      <c r="C110"/>
      <c r="D110"/>
      <c r="F110"/>
      <c r="G110"/>
      <c r="H110"/>
      <c r="I110"/>
      <c r="L110" s="33"/>
      <c r="M110" s="34"/>
      <c r="N110" t="str">
        <f t="shared" si="1"/>
        <v/>
      </c>
    </row>
    <row r="111" spans="1:14">
      <c r="A111"/>
      <c r="B111"/>
      <c r="C111"/>
      <c r="D111"/>
      <c r="F111"/>
      <c r="G111"/>
      <c r="H111"/>
      <c r="I111"/>
      <c r="L111" s="33"/>
      <c r="M111" s="34"/>
      <c r="N111" t="str">
        <f t="shared" si="1"/>
        <v/>
      </c>
    </row>
    <row r="112" spans="1:14">
      <c r="A112"/>
      <c r="B112"/>
      <c r="C112"/>
      <c r="D112"/>
      <c r="F112"/>
      <c r="G112"/>
      <c r="H112"/>
      <c r="I112"/>
      <c r="L112" s="33"/>
      <c r="M112" s="34"/>
      <c r="N112" t="str">
        <f t="shared" si="1"/>
        <v/>
      </c>
    </row>
    <row r="113" spans="1:14">
      <c r="A113"/>
      <c r="B113"/>
      <c r="C113"/>
      <c r="D113"/>
      <c r="F113"/>
      <c r="G113"/>
      <c r="H113"/>
      <c r="I113"/>
      <c r="L113" s="33"/>
      <c r="M113" s="34"/>
      <c r="N113" t="str">
        <f t="shared" si="1"/>
        <v/>
      </c>
    </row>
    <row r="114" spans="1:14">
      <c r="A114"/>
      <c r="B114"/>
      <c r="C114"/>
      <c r="D114"/>
      <c r="F114"/>
      <c r="G114"/>
      <c r="H114"/>
      <c r="I114"/>
      <c r="L114" s="33"/>
      <c r="M114" s="34"/>
      <c r="N114" t="str">
        <f t="shared" si="1"/>
        <v/>
      </c>
    </row>
    <row r="115" spans="1:14">
      <c r="A115"/>
      <c r="B115"/>
      <c r="C115"/>
      <c r="D115"/>
      <c r="F115"/>
      <c r="G115"/>
      <c r="H115"/>
      <c r="I115"/>
      <c r="L115" s="33"/>
      <c r="M115" s="34"/>
      <c r="N115" t="str">
        <f t="shared" si="1"/>
        <v/>
      </c>
    </row>
    <row r="116" spans="1:14">
      <c r="A116" t="s">
        <v>249</v>
      </c>
      <c r="B116" t="s">
        <v>207</v>
      </c>
      <c r="C116" t="s">
        <v>694</v>
      </c>
      <c r="D116" t="s">
        <v>695</v>
      </c>
      <c r="E116" t="s">
        <v>696</v>
      </c>
      <c r="F116" t="s">
        <v>697</v>
      </c>
      <c r="G116" t="s">
        <v>469</v>
      </c>
      <c r="H116" t="s">
        <v>29</v>
      </c>
      <c r="L116" s="33"/>
      <c r="M116" s="34"/>
      <c r="N116">
        <f t="shared" si="1"/>
        <v>114</v>
      </c>
    </row>
    <row r="117" spans="1:14">
      <c r="A117" t="s">
        <v>249</v>
      </c>
      <c r="B117" t="s">
        <v>207</v>
      </c>
      <c r="C117" t="s">
        <v>694</v>
      </c>
      <c r="D117" t="s">
        <v>695</v>
      </c>
      <c r="E117" t="s">
        <v>698</v>
      </c>
      <c r="F117" t="s">
        <v>699</v>
      </c>
      <c r="G117" t="s">
        <v>156</v>
      </c>
      <c r="H117" t="s">
        <v>29</v>
      </c>
      <c r="L117" s="33"/>
      <c r="M117" s="34"/>
      <c r="N117">
        <f t="shared" si="1"/>
        <v>115</v>
      </c>
    </row>
    <row r="118" spans="1:14">
      <c r="A118" t="s">
        <v>249</v>
      </c>
      <c r="B118" t="s">
        <v>207</v>
      </c>
      <c r="C118" t="s">
        <v>694</v>
      </c>
      <c r="D118" t="s">
        <v>695</v>
      </c>
      <c r="E118" t="s">
        <v>700</v>
      </c>
      <c r="F118" t="s">
        <v>701</v>
      </c>
      <c r="G118" t="s">
        <v>484</v>
      </c>
      <c r="H118" t="s">
        <v>29</v>
      </c>
      <c r="L118" s="33"/>
      <c r="M118" s="34"/>
      <c r="N118">
        <f t="shared" si="1"/>
        <v>116</v>
      </c>
    </row>
    <row r="119" spans="1:14">
      <c r="A119" t="s">
        <v>249</v>
      </c>
      <c r="B119" t="s">
        <v>207</v>
      </c>
      <c r="C119" t="s">
        <v>694</v>
      </c>
      <c r="D119" t="s">
        <v>695</v>
      </c>
      <c r="E119" t="s">
        <v>702</v>
      </c>
      <c r="F119" t="s">
        <v>703</v>
      </c>
      <c r="G119" t="s">
        <v>484</v>
      </c>
      <c r="H119" t="s">
        <v>29</v>
      </c>
      <c r="L119" s="33"/>
      <c r="M119" s="34"/>
      <c r="N119">
        <f t="shared" si="1"/>
        <v>117</v>
      </c>
    </row>
    <row r="120" spans="1:14">
      <c r="A120" t="s">
        <v>249</v>
      </c>
      <c r="B120" t="s">
        <v>207</v>
      </c>
      <c r="C120" t="s">
        <v>694</v>
      </c>
      <c r="D120" t="s">
        <v>695</v>
      </c>
      <c r="E120" t="s">
        <v>704</v>
      </c>
      <c r="F120" t="s">
        <v>705</v>
      </c>
      <c r="G120" t="s">
        <v>156</v>
      </c>
      <c r="H120" t="s">
        <v>29</v>
      </c>
      <c r="L120" s="33"/>
      <c r="M120" s="34"/>
      <c r="N120">
        <f t="shared" si="1"/>
        <v>118</v>
      </c>
    </row>
    <row r="121" spans="1:14">
      <c r="A121"/>
      <c r="B121"/>
      <c r="C121"/>
      <c r="D121"/>
      <c r="F121"/>
      <c r="G121"/>
      <c r="H121"/>
      <c r="L121" s="33"/>
      <c r="M121" s="34"/>
      <c r="N121" t="str">
        <f t="shared" si="1"/>
        <v/>
      </c>
    </row>
    <row r="122" spans="1:14">
      <c r="A122" t="s">
        <v>252</v>
      </c>
      <c r="B122" t="s">
        <v>207</v>
      </c>
      <c r="C122" t="s">
        <v>706</v>
      </c>
      <c r="D122" t="s">
        <v>695</v>
      </c>
      <c r="E122" t="s">
        <v>707</v>
      </c>
      <c r="F122" t="s">
        <v>708</v>
      </c>
      <c r="G122" t="s">
        <v>484</v>
      </c>
      <c r="H122" t="s">
        <v>29</v>
      </c>
      <c r="L122" s="33"/>
      <c r="M122" s="34"/>
      <c r="N122">
        <f t="shared" si="1"/>
        <v>119</v>
      </c>
    </row>
    <row r="123" spans="1:14">
      <c r="A123" t="s">
        <v>252</v>
      </c>
      <c r="B123" t="s">
        <v>207</v>
      </c>
      <c r="C123" t="s">
        <v>706</v>
      </c>
      <c r="D123" t="s">
        <v>695</v>
      </c>
      <c r="E123" t="s">
        <v>709</v>
      </c>
      <c r="F123" t="s">
        <v>710</v>
      </c>
      <c r="G123" t="s">
        <v>711</v>
      </c>
      <c r="H123" t="s">
        <v>29</v>
      </c>
      <c r="L123" s="33"/>
      <c r="M123" s="34"/>
      <c r="N123">
        <f t="shared" si="1"/>
        <v>120</v>
      </c>
    </row>
    <row r="124" spans="1:14">
      <c r="A124" t="s">
        <v>252</v>
      </c>
      <c r="B124" t="s">
        <v>207</v>
      </c>
      <c r="C124" t="s">
        <v>706</v>
      </c>
      <c r="D124" t="s">
        <v>695</v>
      </c>
      <c r="E124" t="s">
        <v>712</v>
      </c>
      <c r="F124" t="s">
        <v>713</v>
      </c>
      <c r="G124" t="s">
        <v>714</v>
      </c>
      <c r="H124" t="s">
        <v>29</v>
      </c>
      <c r="L124" s="33"/>
      <c r="M124" s="34"/>
      <c r="N124">
        <f t="shared" si="1"/>
        <v>121</v>
      </c>
    </row>
    <row r="125" spans="1:14">
      <c r="A125" t="s">
        <v>252</v>
      </c>
      <c r="B125" t="s">
        <v>207</v>
      </c>
      <c r="C125" t="s">
        <v>706</v>
      </c>
      <c r="D125" t="s">
        <v>695</v>
      </c>
      <c r="E125" t="s">
        <v>715</v>
      </c>
      <c r="F125" t="s">
        <v>716</v>
      </c>
      <c r="G125" t="s">
        <v>156</v>
      </c>
      <c r="H125" t="s">
        <v>29</v>
      </c>
      <c r="L125" s="33"/>
      <c r="M125" s="34"/>
      <c r="N125">
        <f t="shared" si="1"/>
        <v>122</v>
      </c>
    </row>
    <row r="126" spans="1:14">
      <c r="A126" t="s">
        <v>252</v>
      </c>
      <c r="B126" t="s">
        <v>207</v>
      </c>
      <c r="C126" t="s">
        <v>706</v>
      </c>
      <c r="D126" t="s">
        <v>695</v>
      </c>
      <c r="E126" t="s">
        <v>717</v>
      </c>
      <c r="F126" t="s">
        <v>718</v>
      </c>
      <c r="G126" t="s">
        <v>156</v>
      </c>
      <c r="H126" t="s">
        <v>29</v>
      </c>
      <c r="L126" s="33"/>
      <c r="M126" s="34"/>
      <c r="N126">
        <f t="shared" si="1"/>
        <v>123</v>
      </c>
    </row>
    <row r="127" spans="1:14">
      <c r="A127" t="s">
        <v>252</v>
      </c>
      <c r="B127" t="s">
        <v>207</v>
      </c>
      <c r="C127" t="s">
        <v>706</v>
      </c>
      <c r="D127" t="s">
        <v>695</v>
      </c>
      <c r="E127" t="s">
        <v>719</v>
      </c>
      <c r="F127" t="s">
        <v>720</v>
      </c>
      <c r="G127" t="s">
        <v>156</v>
      </c>
      <c r="H127" t="s">
        <v>29</v>
      </c>
      <c r="L127" s="33"/>
      <c r="M127" s="34"/>
      <c r="N127">
        <f t="shared" si="1"/>
        <v>124</v>
      </c>
    </row>
    <row r="128" spans="1:14">
      <c r="A128" t="s">
        <v>252</v>
      </c>
      <c r="B128" t="s">
        <v>207</v>
      </c>
      <c r="C128" t="s">
        <v>706</v>
      </c>
      <c r="D128" t="s">
        <v>695</v>
      </c>
      <c r="E128" t="s">
        <v>721</v>
      </c>
      <c r="F128" t="s">
        <v>722</v>
      </c>
      <c r="G128" t="s">
        <v>156</v>
      </c>
      <c r="H128" t="s">
        <v>29</v>
      </c>
      <c r="L128" s="33"/>
      <c r="M128" s="34"/>
      <c r="N128">
        <f t="shared" si="1"/>
        <v>125</v>
      </c>
    </row>
    <row r="129" spans="1:14">
      <c r="A129" t="s">
        <v>252</v>
      </c>
      <c r="B129" t="s">
        <v>207</v>
      </c>
      <c r="C129" t="s">
        <v>706</v>
      </c>
      <c r="D129" t="s">
        <v>695</v>
      </c>
      <c r="E129" t="s">
        <v>723</v>
      </c>
      <c r="F129" t="s">
        <v>724</v>
      </c>
      <c r="G129" t="s">
        <v>156</v>
      </c>
      <c r="H129" t="s">
        <v>29</v>
      </c>
      <c r="L129" s="33"/>
      <c r="M129" s="34"/>
      <c r="N129">
        <f t="shared" si="1"/>
        <v>126</v>
      </c>
    </row>
    <row r="130" spans="1:14">
      <c r="A130" t="s">
        <v>252</v>
      </c>
      <c r="B130" t="s">
        <v>207</v>
      </c>
      <c r="C130" t="s">
        <v>706</v>
      </c>
      <c r="D130" t="s">
        <v>695</v>
      </c>
      <c r="E130" t="s">
        <v>725</v>
      </c>
      <c r="F130" t="s">
        <v>726</v>
      </c>
      <c r="G130" t="s">
        <v>156</v>
      </c>
      <c r="H130" t="s">
        <v>29</v>
      </c>
      <c r="L130" s="33"/>
      <c r="M130" s="34"/>
      <c r="N130">
        <f t="shared" ref="N130:N193" si="2">IFERROR(VALUE(MID(E130,3,5)),"")</f>
        <v>127</v>
      </c>
    </row>
    <row r="131" spans="1:14">
      <c r="A131" t="s">
        <v>252</v>
      </c>
      <c r="B131" t="s">
        <v>207</v>
      </c>
      <c r="C131" t="s">
        <v>706</v>
      </c>
      <c r="D131" t="s">
        <v>695</v>
      </c>
      <c r="E131" t="s">
        <v>727</v>
      </c>
      <c r="F131" t="s">
        <v>728</v>
      </c>
      <c r="G131" t="s">
        <v>484</v>
      </c>
      <c r="H131" t="s">
        <v>29</v>
      </c>
      <c r="L131" s="33"/>
      <c r="M131" s="34"/>
      <c r="N131">
        <f t="shared" si="2"/>
        <v>128</v>
      </c>
    </row>
    <row r="132" spans="1:14">
      <c r="A132" t="s">
        <v>252</v>
      </c>
      <c r="B132" t="s">
        <v>207</v>
      </c>
      <c r="C132" t="s">
        <v>706</v>
      </c>
      <c r="D132" t="s">
        <v>695</v>
      </c>
      <c r="E132" t="s">
        <v>729</v>
      </c>
      <c r="F132" t="s">
        <v>730</v>
      </c>
      <c r="G132" t="s">
        <v>484</v>
      </c>
      <c r="H132" t="s">
        <v>29</v>
      </c>
      <c r="L132" s="33"/>
      <c r="M132" s="34"/>
      <c r="N132">
        <f t="shared" si="2"/>
        <v>129</v>
      </c>
    </row>
    <row r="133" spans="1:14">
      <c r="A133" t="s">
        <v>252</v>
      </c>
      <c r="B133" t="s">
        <v>207</v>
      </c>
      <c r="C133" t="s">
        <v>706</v>
      </c>
      <c r="D133" t="s">
        <v>695</v>
      </c>
      <c r="E133" t="s">
        <v>731</v>
      </c>
      <c r="F133" t="s">
        <v>732</v>
      </c>
      <c r="G133" t="s">
        <v>484</v>
      </c>
      <c r="H133" t="s">
        <v>29</v>
      </c>
      <c r="L133" s="33"/>
      <c r="M133" s="34"/>
      <c r="N133">
        <f t="shared" si="2"/>
        <v>130</v>
      </c>
    </row>
    <row r="134" spans="1:14">
      <c r="A134" t="s">
        <v>252</v>
      </c>
      <c r="B134" t="s">
        <v>207</v>
      </c>
      <c r="C134" t="s">
        <v>706</v>
      </c>
      <c r="D134" t="s">
        <v>695</v>
      </c>
      <c r="E134" t="s">
        <v>733</v>
      </c>
      <c r="F134" t="s">
        <v>734</v>
      </c>
      <c r="G134" t="s">
        <v>484</v>
      </c>
      <c r="H134" t="s">
        <v>29</v>
      </c>
      <c r="L134" s="33"/>
      <c r="M134" s="34"/>
      <c r="N134">
        <f t="shared" si="2"/>
        <v>131</v>
      </c>
    </row>
    <row r="135" spans="1:14">
      <c r="A135" t="s">
        <v>252</v>
      </c>
      <c r="B135" t="s">
        <v>207</v>
      </c>
      <c r="C135" t="s">
        <v>706</v>
      </c>
      <c r="D135" t="s">
        <v>695</v>
      </c>
      <c r="E135" t="s">
        <v>735</v>
      </c>
      <c r="F135" t="s">
        <v>736</v>
      </c>
      <c r="G135" t="s">
        <v>484</v>
      </c>
      <c r="H135" t="s">
        <v>29</v>
      </c>
      <c r="L135" s="33"/>
      <c r="M135" s="34"/>
      <c r="N135">
        <f t="shared" si="2"/>
        <v>132</v>
      </c>
    </row>
    <row r="136" spans="1:14">
      <c r="A136" t="s">
        <v>252</v>
      </c>
      <c r="B136" t="s">
        <v>207</v>
      </c>
      <c r="C136" t="s">
        <v>706</v>
      </c>
      <c r="D136" t="s">
        <v>695</v>
      </c>
      <c r="E136" t="s">
        <v>737</v>
      </c>
      <c r="F136" t="s">
        <v>738</v>
      </c>
      <c r="G136" t="s">
        <v>484</v>
      </c>
      <c r="H136" t="s">
        <v>29</v>
      </c>
      <c r="L136" s="33"/>
      <c r="M136" s="34"/>
      <c r="N136">
        <f t="shared" si="2"/>
        <v>133</v>
      </c>
    </row>
    <row r="137" spans="1:14">
      <c r="A137" t="s">
        <v>252</v>
      </c>
      <c r="B137" t="s">
        <v>207</v>
      </c>
      <c r="C137" t="s">
        <v>706</v>
      </c>
      <c r="D137" t="s">
        <v>695</v>
      </c>
      <c r="E137" t="s">
        <v>739</v>
      </c>
      <c r="F137" t="s">
        <v>740</v>
      </c>
      <c r="G137" t="s">
        <v>484</v>
      </c>
      <c r="H137" t="s">
        <v>29</v>
      </c>
      <c r="L137" s="33"/>
      <c r="M137" s="34"/>
      <c r="N137">
        <f t="shared" si="2"/>
        <v>134</v>
      </c>
    </row>
    <row r="138" spans="1:14">
      <c r="A138" t="s">
        <v>252</v>
      </c>
      <c r="B138" t="s">
        <v>207</v>
      </c>
      <c r="C138" t="s">
        <v>706</v>
      </c>
      <c r="D138" t="s">
        <v>695</v>
      </c>
      <c r="E138" t="s">
        <v>741</v>
      </c>
      <c r="F138" t="s">
        <v>742</v>
      </c>
      <c r="G138" t="s">
        <v>484</v>
      </c>
      <c r="H138" t="s">
        <v>29</v>
      </c>
      <c r="L138" s="33"/>
      <c r="M138" s="34"/>
      <c r="N138">
        <f t="shared" si="2"/>
        <v>135</v>
      </c>
    </row>
    <row r="139" spans="1:14">
      <c r="A139" t="s">
        <v>252</v>
      </c>
      <c r="B139" t="s">
        <v>207</v>
      </c>
      <c r="C139" t="s">
        <v>706</v>
      </c>
      <c r="D139" t="s">
        <v>695</v>
      </c>
      <c r="E139" t="s">
        <v>743</v>
      </c>
      <c r="F139" t="s">
        <v>744</v>
      </c>
      <c r="G139" t="s">
        <v>484</v>
      </c>
      <c r="H139" t="s">
        <v>29</v>
      </c>
      <c r="L139" s="33"/>
      <c r="M139" s="34"/>
      <c r="N139">
        <f t="shared" si="2"/>
        <v>136</v>
      </c>
    </row>
    <row r="140" spans="1:14">
      <c r="A140" t="s">
        <v>252</v>
      </c>
      <c r="B140" t="s">
        <v>207</v>
      </c>
      <c r="C140" t="s">
        <v>706</v>
      </c>
      <c r="D140" t="s">
        <v>695</v>
      </c>
      <c r="E140" t="s">
        <v>745</v>
      </c>
      <c r="F140" t="s">
        <v>746</v>
      </c>
      <c r="G140" t="s">
        <v>484</v>
      </c>
      <c r="H140" t="s">
        <v>29</v>
      </c>
      <c r="L140" s="33"/>
      <c r="M140" s="34"/>
      <c r="N140">
        <f t="shared" si="2"/>
        <v>137</v>
      </c>
    </row>
    <row r="141" spans="1:14">
      <c r="A141" t="s">
        <v>252</v>
      </c>
      <c r="B141" t="s">
        <v>207</v>
      </c>
      <c r="C141" t="s">
        <v>706</v>
      </c>
      <c r="D141" t="s">
        <v>695</v>
      </c>
      <c r="E141" t="s">
        <v>747</v>
      </c>
      <c r="F141" t="s">
        <v>748</v>
      </c>
      <c r="G141" t="s">
        <v>484</v>
      </c>
      <c r="H141" t="s">
        <v>29</v>
      </c>
      <c r="I141"/>
      <c r="L141" s="33"/>
      <c r="M141" s="34"/>
      <c r="N141">
        <f t="shared" si="2"/>
        <v>138</v>
      </c>
    </row>
    <row r="142" spans="1:14">
      <c r="A142" t="s">
        <v>252</v>
      </c>
      <c r="B142" t="s">
        <v>207</v>
      </c>
      <c r="C142" t="s">
        <v>706</v>
      </c>
      <c r="D142" t="s">
        <v>695</v>
      </c>
      <c r="E142" t="s">
        <v>749</v>
      </c>
      <c r="F142" t="s">
        <v>750</v>
      </c>
      <c r="G142" t="s">
        <v>484</v>
      </c>
      <c r="H142" t="s">
        <v>29</v>
      </c>
      <c r="I142"/>
      <c r="L142" s="33"/>
      <c r="M142" s="34"/>
      <c r="N142">
        <f t="shared" si="2"/>
        <v>139</v>
      </c>
    </row>
    <row r="143" spans="1:14">
      <c r="A143" t="s">
        <v>252</v>
      </c>
      <c r="B143" t="s">
        <v>207</v>
      </c>
      <c r="C143" t="s">
        <v>706</v>
      </c>
      <c r="D143" t="s">
        <v>695</v>
      </c>
      <c r="E143" t="s">
        <v>751</v>
      </c>
      <c r="F143" t="s">
        <v>752</v>
      </c>
      <c r="G143" t="s">
        <v>484</v>
      </c>
      <c r="H143" t="s">
        <v>29</v>
      </c>
      <c r="L143" s="33"/>
      <c r="M143" s="34"/>
      <c r="N143">
        <f t="shared" si="2"/>
        <v>140</v>
      </c>
    </row>
    <row r="144" spans="1:14">
      <c r="A144" t="s">
        <v>252</v>
      </c>
      <c r="B144" t="s">
        <v>207</v>
      </c>
      <c r="C144" t="s">
        <v>706</v>
      </c>
      <c r="D144" t="s">
        <v>695</v>
      </c>
      <c r="E144" t="s">
        <v>753</v>
      </c>
      <c r="F144" t="s">
        <v>754</v>
      </c>
      <c r="G144" t="s">
        <v>474</v>
      </c>
      <c r="H144" t="s">
        <v>29</v>
      </c>
      <c r="L144" s="33"/>
      <c r="M144" s="34"/>
      <c r="N144">
        <f t="shared" si="2"/>
        <v>141</v>
      </c>
    </row>
    <row r="145" spans="1:14">
      <c r="A145" t="s">
        <v>252</v>
      </c>
      <c r="B145" t="s">
        <v>207</v>
      </c>
      <c r="C145" t="s">
        <v>706</v>
      </c>
      <c r="D145" t="s">
        <v>695</v>
      </c>
      <c r="E145" t="s">
        <v>755</v>
      </c>
      <c r="F145" t="s">
        <v>756</v>
      </c>
      <c r="G145" t="s">
        <v>156</v>
      </c>
      <c r="H145" t="s">
        <v>29</v>
      </c>
      <c r="L145" s="33"/>
      <c r="M145" s="34"/>
      <c r="N145">
        <f t="shared" si="2"/>
        <v>142</v>
      </c>
    </row>
    <row r="146" spans="1:14">
      <c r="A146" t="s">
        <v>252</v>
      </c>
      <c r="B146" t="s">
        <v>207</v>
      </c>
      <c r="C146" t="s">
        <v>706</v>
      </c>
      <c r="D146" t="s">
        <v>695</v>
      </c>
      <c r="E146" t="s">
        <v>757</v>
      </c>
      <c r="F146" t="s">
        <v>758</v>
      </c>
      <c r="G146" t="s">
        <v>156</v>
      </c>
      <c r="H146" t="s">
        <v>29</v>
      </c>
      <c r="L146" s="33"/>
      <c r="M146" s="34"/>
      <c r="N146">
        <f t="shared" si="2"/>
        <v>143</v>
      </c>
    </row>
    <row r="147" spans="1:14">
      <c r="A147" t="s">
        <v>252</v>
      </c>
      <c r="B147" t="s">
        <v>207</v>
      </c>
      <c r="C147" t="s">
        <v>706</v>
      </c>
      <c r="D147" t="s">
        <v>695</v>
      </c>
      <c r="E147" t="s">
        <v>759</v>
      </c>
      <c r="F147" t="s">
        <v>760</v>
      </c>
      <c r="G147" t="s">
        <v>156</v>
      </c>
      <c r="H147" t="s">
        <v>29</v>
      </c>
      <c r="L147" s="33"/>
      <c r="M147" s="34"/>
      <c r="N147">
        <f t="shared" si="2"/>
        <v>144</v>
      </c>
    </row>
    <row r="148" spans="1:14">
      <c r="A148" t="s">
        <v>252</v>
      </c>
      <c r="B148" t="s">
        <v>207</v>
      </c>
      <c r="C148" t="s">
        <v>706</v>
      </c>
      <c r="D148" t="s">
        <v>695</v>
      </c>
      <c r="E148" t="s">
        <v>761</v>
      </c>
      <c r="F148" t="s">
        <v>762</v>
      </c>
      <c r="G148" t="s">
        <v>474</v>
      </c>
      <c r="H148" t="s">
        <v>29</v>
      </c>
      <c r="L148" s="33"/>
      <c r="M148" s="34"/>
      <c r="N148">
        <f t="shared" si="2"/>
        <v>145</v>
      </c>
    </row>
    <row r="149" spans="1:14">
      <c r="A149"/>
      <c r="B149"/>
      <c r="C149"/>
      <c r="D149"/>
      <c r="F149"/>
      <c r="G149"/>
      <c r="H149"/>
      <c r="L149" s="33"/>
      <c r="M149" s="34"/>
      <c r="N149" t="str">
        <f t="shared" si="2"/>
        <v/>
      </c>
    </row>
    <row r="150" spans="1:14">
      <c r="A150" t="s">
        <v>259</v>
      </c>
      <c r="B150" t="s">
        <v>207</v>
      </c>
      <c r="C150" t="s">
        <v>763</v>
      </c>
      <c r="D150" t="s">
        <v>695</v>
      </c>
      <c r="E150" t="s">
        <v>764</v>
      </c>
      <c r="F150" t="s">
        <v>765</v>
      </c>
      <c r="G150" t="s">
        <v>156</v>
      </c>
      <c r="H150" t="s">
        <v>29</v>
      </c>
      <c r="L150" s="33"/>
      <c r="M150" s="34"/>
      <c r="N150">
        <f t="shared" si="2"/>
        <v>146</v>
      </c>
    </row>
    <row r="151" spans="1:14">
      <c r="A151" t="s">
        <v>259</v>
      </c>
      <c r="B151" t="s">
        <v>207</v>
      </c>
      <c r="C151" t="s">
        <v>763</v>
      </c>
      <c r="D151" t="s">
        <v>695</v>
      </c>
      <c r="E151" t="s">
        <v>766</v>
      </c>
      <c r="F151" t="s">
        <v>767</v>
      </c>
      <c r="G151" t="s">
        <v>156</v>
      </c>
      <c r="H151" t="s">
        <v>29</v>
      </c>
      <c r="L151" s="33"/>
      <c r="M151" s="34"/>
      <c r="N151">
        <f t="shared" si="2"/>
        <v>147</v>
      </c>
    </row>
    <row r="152" spans="1:14">
      <c r="A152" t="s">
        <v>259</v>
      </c>
      <c r="B152" t="s">
        <v>207</v>
      </c>
      <c r="C152" t="s">
        <v>763</v>
      </c>
      <c r="D152" t="s">
        <v>695</v>
      </c>
      <c r="E152" t="s">
        <v>768</v>
      </c>
      <c r="F152" t="s">
        <v>769</v>
      </c>
      <c r="G152" t="s">
        <v>156</v>
      </c>
      <c r="H152" t="s">
        <v>29</v>
      </c>
      <c r="L152" s="33"/>
      <c r="M152" s="34"/>
      <c r="N152">
        <f t="shared" si="2"/>
        <v>148</v>
      </c>
    </row>
    <row r="153" spans="1:14">
      <c r="A153" t="s">
        <v>259</v>
      </c>
      <c r="B153" t="s">
        <v>207</v>
      </c>
      <c r="C153" t="s">
        <v>763</v>
      </c>
      <c r="D153" t="s">
        <v>695</v>
      </c>
      <c r="E153" t="s">
        <v>770</v>
      </c>
      <c r="F153" t="s">
        <v>771</v>
      </c>
      <c r="G153" t="s">
        <v>156</v>
      </c>
      <c r="H153" t="s">
        <v>29</v>
      </c>
      <c r="L153" s="33"/>
      <c r="M153" s="34"/>
      <c r="N153">
        <f t="shared" si="2"/>
        <v>149</v>
      </c>
    </row>
    <row r="154" spans="1:14">
      <c r="A154" t="s">
        <v>259</v>
      </c>
      <c r="B154" t="s">
        <v>207</v>
      </c>
      <c r="C154" t="s">
        <v>763</v>
      </c>
      <c r="D154" t="s">
        <v>695</v>
      </c>
      <c r="E154" t="s">
        <v>772</v>
      </c>
      <c r="F154" t="s">
        <v>773</v>
      </c>
      <c r="G154" t="s">
        <v>156</v>
      </c>
      <c r="H154" t="s">
        <v>29</v>
      </c>
      <c r="L154" s="33"/>
      <c r="M154" s="34"/>
      <c r="N154">
        <f t="shared" si="2"/>
        <v>150</v>
      </c>
    </row>
    <row r="155" spans="1:14">
      <c r="A155" t="s">
        <v>259</v>
      </c>
      <c r="B155" t="s">
        <v>207</v>
      </c>
      <c r="C155" t="s">
        <v>763</v>
      </c>
      <c r="D155" t="s">
        <v>695</v>
      </c>
      <c r="E155" t="s">
        <v>774</v>
      </c>
      <c r="F155" t="s">
        <v>775</v>
      </c>
      <c r="G155" t="s">
        <v>156</v>
      </c>
      <c r="H155" t="s">
        <v>29</v>
      </c>
      <c r="L155" s="33"/>
      <c r="M155" s="34"/>
      <c r="N155">
        <f t="shared" si="2"/>
        <v>151</v>
      </c>
    </row>
    <row r="156" spans="1:14">
      <c r="A156" t="s">
        <v>259</v>
      </c>
      <c r="B156" t="s">
        <v>207</v>
      </c>
      <c r="C156" t="s">
        <v>763</v>
      </c>
      <c r="D156" t="s">
        <v>695</v>
      </c>
      <c r="E156" t="s">
        <v>776</v>
      </c>
      <c r="F156" t="s">
        <v>777</v>
      </c>
      <c r="G156" t="s">
        <v>469</v>
      </c>
      <c r="H156" t="s">
        <v>29</v>
      </c>
      <c r="L156" s="33"/>
      <c r="M156" s="34"/>
      <c r="N156">
        <f t="shared" si="2"/>
        <v>152</v>
      </c>
    </row>
    <row r="157" spans="1:14">
      <c r="A157" t="s">
        <v>259</v>
      </c>
      <c r="B157" t="s">
        <v>207</v>
      </c>
      <c r="C157" t="s">
        <v>763</v>
      </c>
      <c r="D157" t="s">
        <v>695</v>
      </c>
      <c r="E157" t="s">
        <v>778</v>
      </c>
      <c r="F157" t="s">
        <v>779</v>
      </c>
      <c r="G157" t="s">
        <v>469</v>
      </c>
      <c r="H157" t="s">
        <v>29</v>
      </c>
      <c r="L157" s="33"/>
      <c r="M157" s="34"/>
      <c r="N157">
        <f t="shared" si="2"/>
        <v>153</v>
      </c>
    </row>
    <row r="158" spans="1:14">
      <c r="A158" t="s">
        <v>259</v>
      </c>
      <c r="B158" t="s">
        <v>207</v>
      </c>
      <c r="C158" t="s">
        <v>763</v>
      </c>
      <c r="D158" t="s">
        <v>695</v>
      </c>
      <c r="E158" t="s">
        <v>780</v>
      </c>
      <c r="F158" t="s">
        <v>781</v>
      </c>
      <c r="G158" t="s">
        <v>156</v>
      </c>
      <c r="H158" t="s">
        <v>29</v>
      </c>
      <c r="L158" s="33"/>
      <c r="M158" s="34"/>
      <c r="N158">
        <f t="shared" si="2"/>
        <v>154</v>
      </c>
    </row>
    <row r="159" spans="1:14">
      <c r="A159" t="s">
        <v>259</v>
      </c>
      <c r="B159" t="s">
        <v>207</v>
      </c>
      <c r="C159" t="s">
        <v>763</v>
      </c>
      <c r="D159" t="s">
        <v>695</v>
      </c>
      <c r="E159" t="s">
        <v>782</v>
      </c>
      <c r="F159" t="s">
        <v>783</v>
      </c>
      <c r="G159" t="s">
        <v>156</v>
      </c>
      <c r="H159" t="s">
        <v>29</v>
      </c>
      <c r="L159" s="33"/>
      <c r="M159" s="34"/>
      <c r="N159">
        <f t="shared" si="2"/>
        <v>155</v>
      </c>
    </row>
    <row r="160" spans="1:14">
      <c r="A160" t="s">
        <v>259</v>
      </c>
      <c r="B160" t="s">
        <v>207</v>
      </c>
      <c r="C160" t="s">
        <v>763</v>
      </c>
      <c r="D160" t="s">
        <v>695</v>
      </c>
      <c r="E160" t="s">
        <v>784</v>
      </c>
      <c r="F160" t="s">
        <v>785</v>
      </c>
      <c r="G160" t="s">
        <v>156</v>
      </c>
      <c r="H160" t="s">
        <v>29</v>
      </c>
      <c r="L160" s="33"/>
      <c r="M160" s="34"/>
      <c r="N160">
        <f t="shared" si="2"/>
        <v>156</v>
      </c>
    </row>
    <row r="161" spans="1:14">
      <c r="A161" t="s">
        <v>259</v>
      </c>
      <c r="B161" t="s">
        <v>207</v>
      </c>
      <c r="C161" t="s">
        <v>763</v>
      </c>
      <c r="D161" t="s">
        <v>695</v>
      </c>
      <c r="E161" t="s">
        <v>786</v>
      </c>
      <c r="F161" t="s">
        <v>787</v>
      </c>
      <c r="G161" t="s">
        <v>156</v>
      </c>
      <c r="H161" t="s">
        <v>29</v>
      </c>
      <c r="L161" s="33"/>
      <c r="M161" s="34"/>
      <c r="N161">
        <f t="shared" si="2"/>
        <v>157</v>
      </c>
    </row>
    <row r="162" spans="1:14">
      <c r="A162" t="s">
        <v>259</v>
      </c>
      <c r="B162" t="s">
        <v>207</v>
      </c>
      <c r="C162" t="s">
        <v>763</v>
      </c>
      <c r="D162" t="s">
        <v>695</v>
      </c>
      <c r="E162" t="s">
        <v>788</v>
      </c>
      <c r="F162" t="s">
        <v>789</v>
      </c>
      <c r="G162" t="s">
        <v>156</v>
      </c>
      <c r="H162" t="s">
        <v>29</v>
      </c>
      <c r="L162" s="33"/>
      <c r="M162" s="34"/>
      <c r="N162">
        <f t="shared" si="2"/>
        <v>158</v>
      </c>
    </row>
    <row r="163" spans="1:14">
      <c r="A163" t="s">
        <v>259</v>
      </c>
      <c r="B163" t="s">
        <v>207</v>
      </c>
      <c r="C163" t="s">
        <v>763</v>
      </c>
      <c r="D163" t="s">
        <v>695</v>
      </c>
      <c r="E163" t="s">
        <v>790</v>
      </c>
      <c r="F163" t="s">
        <v>791</v>
      </c>
      <c r="G163" t="s">
        <v>156</v>
      </c>
      <c r="H163" t="s">
        <v>29</v>
      </c>
      <c r="L163" s="33"/>
      <c r="M163" s="34"/>
      <c r="N163">
        <f t="shared" si="2"/>
        <v>159</v>
      </c>
    </row>
    <row r="164" spans="1:14">
      <c r="A164" t="s">
        <v>259</v>
      </c>
      <c r="B164" t="s">
        <v>207</v>
      </c>
      <c r="C164" t="s">
        <v>763</v>
      </c>
      <c r="D164" t="s">
        <v>695</v>
      </c>
      <c r="E164" t="s">
        <v>792</v>
      </c>
      <c r="F164" t="s">
        <v>793</v>
      </c>
      <c r="G164" t="s">
        <v>156</v>
      </c>
      <c r="H164" t="s">
        <v>29</v>
      </c>
      <c r="L164" s="33"/>
      <c r="M164" s="34"/>
      <c r="N164">
        <f t="shared" si="2"/>
        <v>160</v>
      </c>
    </row>
    <row r="165" spans="1:14">
      <c r="A165" t="s">
        <v>259</v>
      </c>
      <c r="B165" t="s">
        <v>207</v>
      </c>
      <c r="C165" t="s">
        <v>763</v>
      </c>
      <c r="D165" t="s">
        <v>695</v>
      </c>
      <c r="E165" t="s">
        <v>794</v>
      </c>
      <c r="F165" t="s">
        <v>795</v>
      </c>
      <c r="G165" t="s">
        <v>156</v>
      </c>
      <c r="H165" t="s">
        <v>29</v>
      </c>
      <c r="L165" s="33"/>
      <c r="M165" s="34"/>
      <c r="N165">
        <f t="shared" si="2"/>
        <v>161</v>
      </c>
    </row>
    <row r="166" spans="1:14">
      <c r="A166" t="s">
        <v>259</v>
      </c>
      <c r="B166" t="s">
        <v>207</v>
      </c>
      <c r="C166" t="s">
        <v>763</v>
      </c>
      <c r="D166" t="s">
        <v>695</v>
      </c>
      <c r="E166" t="s">
        <v>796</v>
      </c>
      <c r="F166" t="s">
        <v>797</v>
      </c>
      <c r="G166" t="s">
        <v>156</v>
      </c>
      <c r="H166" t="s">
        <v>29</v>
      </c>
      <c r="L166" s="33"/>
      <c r="M166" s="34"/>
      <c r="N166">
        <f t="shared" si="2"/>
        <v>162</v>
      </c>
    </row>
    <row r="167" spans="1:14">
      <c r="A167" t="s">
        <v>259</v>
      </c>
      <c r="B167" t="s">
        <v>207</v>
      </c>
      <c r="C167" t="s">
        <v>763</v>
      </c>
      <c r="D167" t="s">
        <v>695</v>
      </c>
      <c r="E167" t="s">
        <v>798</v>
      </c>
      <c r="F167" t="s">
        <v>799</v>
      </c>
      <c r="G167" t="s">
        <v>156</v>
      </c>
      <c r="H167" t="s">
        <v>29</v>
      </c>
      <c r="L167" s="33"/>
      <c r="M167" s="34"/>
      <c r="N167">
        <f t="shared" si="2"/>
        <v>163</v>
      </c>
    </row>
    <row r="168" spans="1:14">
      <c r="A168" t="s">
        <v>259</v>
      </c>
      <c r="B168" t="s">
        <v>207</v>
      </c>
      <c r="C168" t="s">
        <v>763</v>
      </c>
      <c r="D168" t="s">
        <v>695</v>
      </c>
      <c r="E168" t="s">
        <v>800</v>
      </c>
      <c r="F168" t="s">
        <v>801</v>
      </c>
      <c r="G168" t="s">
        <v>156</v>
      </c>
      <c r="H168" t="s">
        <v>29</v>
      </c>
      <c r="L168" s="33"/>
      <c r="M168" s="34"/>
      <c r="N168">
        <f t="shared" si="2"/>
        <v>164</v>
      </c>
    </row>
    <row r="169" spans="1:14">
      <c r="A169" t="s">
        <v>259</v>
      </c>
      <c r="B169" t="s">
        <v>207</v>
      </c>
      <c r="C169" t="s">
        <v>763</v>
      </c>
      <c r="D169" t="s">
        <v>695</v>
      </c>
      <c r="E169" t="s">
        <v>802</v>
      </c>
      <c r="F169" t="s">
        <v>803</v>
      </c>
      <c r="G169" t="s">
        <v>156</v>
      </c>
      <c r="H169" t="s">
        <v>29</v>
      </c>
      <c r="L169" s="33"/>
      <c r="M169" s="34"/>
      <c r="N169">
        <f t="shared" si="2"/>
        <v>165</v>
      </c>
    </row>
    <row r="170" spans="1:14">
      <c r="A170" t="s">
        <v>259</v>
      </c>
      <c r="B170" t="s">
        <v>207</v>
      </c>
      <c r="C170" t="s">
        <v>763</v>
      </c>
      <c r="D170" t="s">
        <v>695</v>
      </c>
      <c r="E170" t="s">
        <v>804</v>
      </c>
      <c r="F170" t="s">
        <v>805</v>
      </c>
      <c r="G170" s="18" t="s">
        <v>156</v>
      </c>
      <c r="H170" t="s">
        <v>29</v>
      </c>
      <c r="L170" s="33"/>
      <c r="M170" s="34"/>
      <c r="N170">
        <f t="shared" si="2"/>
        <v>166</v>
      </c>
    </row>
    <row r="171" spans="1:14">
      <c r="A171" t="s">
        <v>259</v>
      </c>
      <c r="B171" t="s">
        <v>207</v>
      </c>
      <c r="C171" t="s">
        <v>763</v>
      </c>
      <c r="D171" t="s">
        <v>695</v>
      </c>
      <c r="E171" t="s">
        <v>806</v>
      </c>
      <c r="F171" t="s">
        <v>807</v>
      </c>
      <c r="G171" t="s">
        <v>808</v>
      </c>
      <c r="H171" t="s">
        <v>29</v>
      </c>
      <c r="L171" s="33"/>
      <c r="M171" s="34"/>
      <c r="N171">
        <f t="shared" si="2"/>
        <v>167</v>
      </c>
    </row>
    <row r="172" spans="1:14">
      <c r="A172"/>
      <c r="B172"/>
      <c r="C172"/>
      <c r="D172"/>
      <c r="F172"/>
      <c r="G172"/>
      <c r="H172"/>
      <c r="L172" s="33"/>
      <c r="M172" s="34"/>
      <c r="N172" t="str">
        <f t="shared" si="2"/>
        <v/>
      </c>
    </row>
    <row r="173" spans="1:14">
      <c r="A173" t="s">
        <v>255</v>
      </c>
      <c r="B173" t="s">
        <v>207</v>
      </c>
      <c r="C173" t="s">
        <v>809</v>
      </c>
      <c r="D173" t="s">
        <v>695</v>
      </c>
      <c r="E173" t="s">
        <v>810</v>
      </c>
      <c r="F173" t="s">
        <v>811</v>
      </c>
      <c r="G173" s="18" t="s">
        <v>812</v>
      </c>
      <c r="H173" t="s">
        <v>29</v>
      </c>
      <c r="I173"/>
      <c r="J173" t="s">
        <v>812</v>
      </c>
      <c r="K173" t="s">
        <v>29</v>
      </c>
      <c r="L173" s="33"/>
      <c r="M173" s="34"/>
      <c r="N173">
        <f t="shared" si="2"/>
        <v>168</v>
      </c>
    </row>
    <row r="174" spans="1:14">
      <c r="A174" t="s">
        <v>255</v>
      </c>
      <c r="B174" t="s">
        <v>207</v>
      </c>
      <c r="C174" t="s">
        <v>809</v>
      </c>
      <c r="D174" t="s">
        <v>695</v>
      </c>
      <c r="E174" t="s">
        <v>813</v>
      </c>
      <c r="F174" t="s">
        <v>814</v>
      </c>
      <c r="G174" t="s">
        <v>812</v>
      </c>
      <c r="H174" t="s">
        <v>29</v>
      </c>
      <c r="I174"/>
      <c r="L174" s="33"/>
      <c r="M174" s="34"/>
      <c r="N174">
        <f t="shared" si="2"/>
        <v>169</v>
      </c>
    </row>
    <row r="175" spans="1:14">
      <c r="A175" t="s">
        <v>255</v>
      </c>
      <c r="B175" t="s">
        <v>207</v>
      </c>
      <c r="C175" t="s">
        <v>809</v>
      </c>
      <c r="D175" t="s">
        <v>695</v>
      </c>
      <c r="E175" t="s">
        <v>815</v>
      </c>
      <c r="F175" t="s">
        <v>816</v>
      </c>
      <c r="G175" t="s">
        <v>812</v>
      </c>
      <c r="H175" t="s">
        <v>29</v>
      </c>
      <c r="I175"/>
      <c r="L175" s="33"/>
      <c r="M175" s="34"/>
      <c r="N175">
        <f t="shared" si="2"/>
        <v>170</v>
      </c>
    </row>
    <row r="176" spans="1:14">
      <c r="A176" t="s">
        <v>255</v>
      </c>
      <c r="B176" t="s">
        <v>207</v>
      </c>
      <c r="C176" t="s">
        <v>809</v>
      </c>
      <c r="D176" t="s">
        <v>695</v>
      </c>
      <c r="E176" t="s">
        <v>817</v>
      </c>
      <c r="F176" t="s">
        <v>818</v>
      </c>
      <c r="G176" t="s">
        <v>812</v>
      </c>
      <c r="H176" t="s">
        <v>29</v>
      </c>
      <c r="L176" s="33"/>
      <c r="M176" s="34"/>
      <c r="N176">
        <f t="shared" si="2"/>
        <v>171</v>
      </c>
    </row>
    <row r="177" spans="1:14">
      <c r="A177" t="s">
        <v>255</v>
      </c>
      <c r="B177" t="s">
        <v>207</v>
      </c>
      <c r="C177" t="s">
        <v>809</v>
      </c>
      <c r="D177" t="s">
        <v>695</v>
      </c>
      <c r="E177" t="s">
        <v>819</v>
      </c>
      <c r="F177" t="s">
        <v>820</v>
      </c>
      <c r="G177" t="s">
        <v>812</v>
      </c>
      <c r="H177" t="s">
        <v>29</v>
      </c>
      <c r="I177"/>
      <c r="J177" t="s">
        <v>29</v>
      </c>
      <c r="L177" s="33"/>
      <c r="M177" s="34"/>
      <c r="N177">
        <f t="shared" si="2"/>
        <v>172</v>
      </c>
    </row>
    <row r="178" spans="1:14">
      <c r="A178" t="s">
        <v>255</v>
      </c>
      <c r="B178" t="s">
        <v>207</v>
      </c>
      <c r="C178" t="s">
        <v>809</v>
      </c>
      <c r="D178" t="s">
        <v>695</v>
      </c>
      <c r="E178" t="s">
        <v>821</v>
      </c>
      <c r="F178" t="s">
        <v>822</v>
      </c>
      <c r="G178" t="s">
        <v>823</v>
      </c>
      <c r="H178" t="s">
        <v>29</v>
      </c>
      <c r="L178" s="33"/>
      <c r="M178" s="34"/>
      <c r="N178">
        <f t="shared" si="2"/>
        <v>173</v>
      </c>
    </row>
    <row r="179" spans="1:14">
      <c r="A179" t="s">
        <v>255</v>
      </c>
      <c r="B179" t="s">
        <v>207</v>
      </c>
      <c r="C179" t="s">
        <v>809</v>
      </c>
      <c r="D179" t="s">
        <v>695</v>
      </c>
      <c r="E179" t="s">
        <v>824</v>
      </c>
      <c r="F179" t="s">
        <v>825</v>
      </c>
      <c r="G179" t="s">
        <v>823</v>
      </c>
      <c r="H179" t="s">
        <v>29</v>
      </c>
      <c r="L179" s="33"/>
      <c r="M179" s="34"/>
      <c r="N179">
        <f t="shared" si="2"/>
        <v>174</v>
      </c>
    </row>
    <row r="180" spans="1:14">
      <c r="A180" t="s">
        <v>255</v>
      </c>
      <c r="B180" t="s">
        <v>207</v>
      </c>
      <c r="C180" t="s">
        <v>809</v>
      </c>
      <c r="D180" t="s">
        <v>695</v>
      </c>
      <c r="E180" t="s">
        <v>826</v>
      </c>
      <c r="F180" t="s">
        <v>827</v>
      </c>
      <c r="G180" t="s">
        <v>823</v>
      </c>
      <c r="H180" t="s">
        <v>29</v>
      </c>
      <c r="I180"/>
      <c r="L180" s="33"/>
      <c r="M180" s="34"/>
      <c r="N180">
        <f t="shared" si="2"/>
        <v>175</v>
      </c>
    </row>
    <row r="181" spans="1:14">
      <c r="A181" t="s">
        <v>255</v>
      </c>
      <c r="B181" t="s">
        <v>207</v>
      </c>
      <c r="C181" t="s">
        <v>809</v>
      </c>
      <c r="D181" t="s">
        <v>695</v>
      </c>
      <c r="E181" t="s">
        <v>828</v>
      </c>
      <c r="F181" t="s">
        <v>829</v>
      </c>
      <c r="G181" t="s">
        <v>823</v>
      </c>
      <c r="H181" t="s">
        <v>29</v>
      </c>
      <c r="I181"/>
      <c r="L181" s="33"/>
      <c r="M181" s="34"/>
      <c r="N181">
        <f t="shared" si="2"/>
        <v>176</v>
      </c>
    </row>
    <row r="182" spans="1:14">
      <c r="A182" t="s">
        <v>255</v>
      </c>
      <c r="B182" t="s">
        <v>207</v>
      </c>
      <c r="C182" t="s">
        <v>809</v>
      </c>
      <c r="D182" t="s">
        <v>695</v>
      </c>
      <c r="E182" t="s">
        <v>830</v>
      </c>
      <c r="F182" t="s">
        <v>831</v>
      </c>
      <c r="G182" t="s">
        <v>832</v>
      </c>
      <c r="H182" t="s">
        <v>29</v>
      </c>
      <c r="I182"/>
      <c r="J182" t="s">
        <v>29</v>
      </c>
      <c r="L182" s="33"/>
      <c r="M182" s="34"/>
      <c r="N182">
        <f t="shared" si="2"/>
        <v>177</v>
      </c>
    </row>
    <row r="183" spans="1:14">
      <c r="A183" t="s">
        <v>255</v>
      </c>
      <c r="B183" t="s">
        <v>207</v>
      </c>
      <c r="C183" t="s">
        <v>809</v>
      </c>
      <c r="D183" t="s">
        <v>695</v>
      </c>
      <c r="E183" t="s">
        <v>833</v>
      </c>
      <c r="F183" t="s">
        <v>834</v>
      </c>
      <c r="G183" t="s">
        <v>812</v>
      </c>
      <c r="H183" t="s">
        <v>29</v>
      </c>
      <c r="I183"/>
      <c r="J183" t="s">
        <v>812</v>
      </c>
      <c r="K183" t="s">
        <v>29</v>
      </c>
      <c r="L183" s="33"/>
      <c r="M183" s="34"/>
      <c r="N183">
        <f t="shared" si="2"/>
        <v>178</v>
      </c>
    </row>
    <row r="184" spans="1:14">
      <c r="A184" t="s">
        <v>255</v>
      </c>
      <c r="B184" t="s">
        <v>207</v>
      </c>
      <c r="C184" t="s">
        <v>809</v>
      </c>
      <c r="D184" t="s">
        <v>695</v>
      </c>
      <c r="E184" t="s">
        <v>835</v>
      </c>
      <c r="F184" t="s">
        <v>836</v>
      </c>
      <c r="G184" t="s">
        <v>832</v>
      </c>
      <c r="H184" t="s">
        <v>29</v>
      </c>
      <c r="I184"/>
      <c r="J184" t="s">
        <v>29</v>
      </c>
      <c r="L184" s="33"/>
      <c r="M184" s="34"/>
      <c r="N184">
        <f t="shared" si="2"/>
        <v>179</v>
      </c>
    </row>
    <row r="185" spans="1:14">
      <c r="A185" t="s">
        <v>255</v>
      </c>
      <c r="B185" t="s">
        <v>207</v>
      </c>
      <c r="C185" t="s">
        <v>809</v>
      </c>
      <c r="D185" t="s">
        <v>695</v>
      </c>
      <c r="E185" t="s">
        <v>837</v>
      </c>
      <c r="F185" t="s">
        <v>838</v>
      </c>
      <c r="G185" t="s">
        <v>812</v>
      </c>
      <c r="H185" t="s">
        <v>29</v>
      </c>
      <c r="I185"/>
      <c r="L185" s="33"/>
      <c r="M185" s="34"/>
      <c r="N185">
        <f t="shared" si="2"/>
        <v>180</v>
      </c>
    </row>
    <row r="186" spans="1:14">
      <c r="A186" t="s">
        <v>255</v>
      </c>
      <c r="B186" t="s">
        <v>207</v>
      </c>
      <c r="C186" t="s">
        <v>809</v>
      </c>
      <c r="D186" t="s">
        <v>695</v>
      </c>
      <c r="E186" t="s">
        <v>839</v>
      </c>
      <c r="F186" t="s">
        <v>840</v>
      </c>
      <c r="G186" t="s">
        <v>812</v>
      </c>
      <c r="H186" t="s">
        <v>29</v>
      </c>
      <c r="I186"/>
      <c r="L186" s="33"/>
      <c r="M186" s="34"/>
      <c r="N186">
        <f t="shared" si="2"/>
        <v>181</v>
      </c>
    </row>
    <row r="187" spans="1:14">
      <c r="A187" t="s">
        <v>255</v>
      </c>
      <c r="B187" t="s">
        <v>207</v>
      </c>
      <c r="C187" t="s">
        <v>809</v>
      </c>
      <c r="D187" t="s">
        <v>695</v>
      </c>
      <c r="E187" t="s">
        <v>841</v>
      </c>
      <c r="F187" t="s">
        <v>842</v>
      </c>
      <c r="G187" t="s">
        <v>823</v>
      </c>
      <c r="H187" t="s">
        <v>29</v>
      </c>
      <c r="L187" s="33"/>
      <c r="M187" s="34"/>
      <c r="N187">
        <f t="shared" si="2"/>
        <v>182</v>
      </c>
    </row>
    <row r="188" spans="1:14">
      <c r="A188" t="s">
        <v>255</v>
      </c>
      <c r="B188" t="s">
        <v>207</v>
      </c>
      <c r="C188" t="s">
        <v>809</v>
      </c>
      <c r="D188" t="s">
        <v>695</v>
      </c>
      <c r="E188" t="s">
        <v>843</v>
      </c>
      <c r="F188" t="s">
        <v>844</v>
      </c>
      <c r="G188" t="s">
        <v>812</v>
      </c>
      <c r="H188" t="s">
        <v>29</v>
      </c>
      <c r="I188"/>
      <c r="J188" t="s">
        <v>29</v>
      </c>
      <c r="L188" s="33"/>
      <c r="M188" s="34"/>
      <c r="N188">
        <f t="shared" si="2"/>
        <v>183</v>
      </c>
    </row>
    <row r="189" spans="1:14">
      <c r="A189" t="s">
        <v>255</v>
      </c>
      <c r="B189" t="s">
        <v>207</v>
      </c>
      <c r="C189" t="s">
        <v>809</v>
      </c>
      <c r="D189" t="s">
        <v>695</v>
      </c>
      <c r="E189" t="s">
        <v>845</v>
      </c>
      <c r="F189" t="s">
        <v>846</v>
      </c>
      <c r="G189" t="s">
        <v>823</v>
      </c>
      <c r="H189" t="s">
        <v>29</v>
      </c>
      <c r="I189"/>
      <c r="J189" t="s">
        <v>823</v>
      </c>
      <c r="K189" t="s">
        <v>29</v>
      </c>
      <c r="L189" s="33"/>
      <c r="M189" s="34"/>
      <c r="N189">
        <f t="shared" si="2"/>
        <v>184</v>
      </c>
    </row>
    <row r="190" spans="1:14">
      <c r="A190" t="s">
        <v>255</v>
      </c>
      <c r="B190" t="s">
        <v>207</v>
      </c>
      <c r="C190" t="s">
        <v>809</v>
      </c>
      <c r="D190" t="s">
        <v>695</v>
      </c>
      <c r="E190" t="s">
        <v>847</v>
      </c>
      <c r="F190" t="s">
        <v>848</v>
      </c>
      <c r="G190" t="s">
        <v>812</v>
      </c>
      <c r="H190" t="s">
        <v>29</v>
      </c>
      <c r="I190"/>
      <c r="J190" t="s">
        <v>29</v>
      </c>
      <c r="L190" s="33"/>
      <c r="M190" s="34"/>
      <c r="N190">
        <f t="shared" si="2"/>
        <v>185</v>
      </c>
    </row>
    <row r="191" spans="1:14">
      <c r="A191" t="s">
        <v>255</v>
      </c>
      <c r="B191" t="s">
        <v>207</v>
      </c>
      <c r="C191" t="s">
        <v>809</v>
      </c>
      <c r="D191" t="s">
        <v>695</v>
      </c>
      <c r="E191" t="s">
        <v>849</v>
      </c>
      <c r="F191" t="s">
        <v>850</v>
      </c>
      <c r="G191" t="s">
        <v>823</v>
      </c>
      <c r="H191" t="s">
        <v>29</v>
      </c>
      <c r="I191"/>
      <c r="L191" s="33"/>
      <c r="M191" s="34"/>
      <c r="N191">
        <f t="shared" si="2"/>
        <v>186</v>
      </c>
    </row>
    <row r="192" spans="1:14">
      <c r="A192" t="s">
        <v>255</v>
      </c>
      <c r="B192" t="s">
        <v>207</v>
      </c>
      <c r="C192" t="s">
        <v>809</v>
      </c>
      <c r="D192" t="s">
        <v>695</v>
      </c>
      <c r="E192" t="s">
        <v>851</v>
      </c>
      <c r="F192" t="s">
        <v>852</v>
      </c>
      <c r="G192" t="s">
        <v>823</v>
      </c>
      <c r="H192" t="s">
        <v>29</v>
      </c>
      <c r="I192"/>
      <c r="L192" s="33"/>
      <c r="M192" s="34"/>
      <c r="N192">
        <f t="shared" si="2"/>
        <v>187</v>
      </c>
    </row>
    <row r="193" spans="1:14">
      <c r="A193" t="s">
        <v>255</v>
      </c>
      <c r="B193" t="s">
        <v>207</v>
      </c>
      <c r="C193" t="s">
        <v>809</v>
      </c>
      <c r="D193" t="s">
        <v>695</v>
      </c>
      <c r="E193" t="s">
        <v>853</v>
      </c>
      <c r="F193" t="s">
        <v>854</v>
      </c>
      <c r="G193" t="s">
        <v>823</v>
      </c>
      <c r="H193" t="s">
        <v>29</v>
      </c>
      <c r="L193" s="33"/>
      <c r="M193" s="34"/>
      <c r="N193">
        <f t="shared" si="2"/>
        <v>188</v>
      </c>
    </row>
    <row r="194" spans="1:14">
      <c r="A194" t="s">
        <v>255</v>
      </c>
      <c r="B194" t="s">
        <v>207</v>
      </c>
      <c r="C194" t="s">
        <v>809</v>
      </c>
      <c r="D194" t="s">
        <v>695</v>
      </c>
      <c r="E194" t="s">
        <v>855</v>
      </c>
      <c r="F194" t="s">
        <v>856</v>
      </c>
      <c r="G194" t="s">
        <v>823</v>
      </c>
      <c r="H194" t="s">
        <v>29</v>
      </c>
      <c r="I194"/>
      <c r="L194" s="33"/>
      <c r="M194" s="34"/>
      <c r="N194">
        <f t="shared" ref="N194:N257" si="3">IFERROR(VALUE(MID(E194,3,5)),"")</f>
        <v>189</v>
      </c>
    </row>
    <row r="195" spans="1:14">
      <c r="A195" t="s">
        <v>255</v>
      </c>
      <c r="B195" t="s">
        <v>207</v>
      </c>
      <c r="C195" t="s">
        <v>809</v>
      </c>
      <c r="D195" t="s">
        <v>695</v>
      </c>
      <c r="E195" t="s">
        <v>857</v>
      </c>
      <c r="F195" t="s">
        <v>858</v>
      </c>
      <c r="G195" s="18" t="s">
        <v>156</v>
      </c>
      <c r="H195" t="s">
        <v>29</v>
      </c>
      <c r="I195"/>
      <c r="L195" s="33"/>
      <c r="M195" s="34"/>
      <c r="N195">
        <f t="shared" si="3"/>
        <v>190</v>
      </c>
    </row>
    <row r="196" spans="1:14">
      <c r="A196" t="s">
        <v>255</v>
      </c>
      <c r="B196" t="s">
        <v>207</v>
      </c>
      <c r="C196" t="s">
        <v>809</v>
      </c>
      <c r="D196" t="s">
        <v>695</v>
      </c>
      <c r="E196" t="s">
        <v>859</v>
      </c>
      <c r="F196" t="s">
        <v>860</v>
      </c>
      <c r="G196" t="s">
        <v>494</v>
      </c>
      <c r="H196" t="s">
        <v>29</v>
      </c>
      <c r="I196"/>
      <c r="L196" s="33"/>
      <c r="M196" s="34"/>
      <c r="N196">
        <f t="shared" si="3"/>
        <v>191</v>
      </c>
    </row>
    <row r="197" spans="1:14">
      <c r="A197"/>
      <c r="B197"/>
      <c r="C197"/>
      <c r="D197"/>
      <c r="F197"/>
      <c r="G197"/>
      <c r="H197"/>
      <c r="I197"/>
      <c r="L197" s="33"/>
      <c r="M197" s="34"/>
      <c r="N197" t="str">
        <f t="shared" si="3"/>
        <v/>
      </c>
    </row>
    <row r="198" spans="1:14">
      <c r="A198" t="s">
        <v>333</v>
      </c>
      <c r="B198" t="s">
        <v>53</v>
      </c>
      <c r="C198" t="s">
        <v>334</v>
      </c>
      <c r="D198" t="s">
        <v>466</v>
      </c>
      <c r="E198" t="s">
        <v>861</v>
      </c>
      <c r="F198" t="s">
        <v>862</v>
      </c>
      <c r="G198" t="s">
        <v>494</v>
      </c>
      <c r="H198" t="s">
        <v>29</v>
      </c>
      <c r="I198" t="s">
        <v>863</v>
      </c>
      <c r="L198" s="33"/>
      <c r="M198" s="34"/>
      <c r="N198">
        <f t="shared" si="3"/>
        <v>192</v>
      </c>
    </row>
    <row r="199" spans="1:14">
      <c r="A199" t="s">
        <v>333</v>
      </c>
      <c r="B199" t="s">
        <v>53</v>
      </c>
      <c r="C199" t="s">
        <v>334</v>
      </c>
      <c r="D199" t="s">
        <v>466</v>
      </c>
      <c r="E199" t="s">
        <v>864</v>
      </c>
      <c r="F199" t="s">
        <v>654</v>
      </c>
      <c r="G199" t="s">
        <v>441</v>
      </c>
      <c r="H199" t="s">
        <v>29</v>
      </c>
      <c r="I199" t="s">
        <v>865</v>
      </c>
      <c r="L199" s="33"/>
      <c r="M199" s="34"/>
      <c r="N199">
        <f t="shared" si="3"/>
        <v>193</v>
      </c>
    </row>
    <row r="200" spans="1:14">
      <c r="A200" t="s">
        <v>333</v>
      </c>
      <c r="B200" t="s">
        <v>53</v>
      </c>
      <c r="C200" t="s">
        <v>334</v>
      </c>
      <c r="D200" t="s">
        <v>466</v>
      </c>
      <c r="E200" t="s">
        <v>866</v>
      </c>
      <c r="F200" t="s">
        <v>867</v>
      </c>
      <c r="G200" t="s">
        <v>466</v>
      </c>
      <c r="H200" t="s">
        <v>29</v>
      </c>
      <c r="I200" t="s">
        <v>868</v>
      </c>
      <c r="L200" s="33"/>
      <c r="M200" s="34"/>
      <c r="N200">
        <f t="shared" si="3"/>
        <v>194</v>
      </c>
    </row>
    <row r="201" spans="1:14">
      <c r="A201" t="s">
        <v>333</v>
      </c>
      <c r="B201" t="s">
        <v>53</v>
      </c>
      <c r="C201" t="s">
        <v>334</v>
      </c>
      <c r="D201" t="s">
        <v>156</v>
      </c>
      <c r="E201" t="s">
        <v>869</v>
      </c>
      <c r="F201" t="s">
        <v>870</v>
      </c>
      <c r="G201" t="s">
        <v>156</v>
      </c>
      <c r="H201" t="s">
        <v>29</v>
      </c>
      <c r="I201" t="s">
        <v>871</v>
      </c>
      <c r="L201" s="33"/>
      <c r="M201" s="34"/>
      <c r="N201">
        <f t="shared" si="3"/>
        <v>195</v>
      </c>
    </row>
    <row r="202" spans="1:14">
      <c r="A202" t="s">
        <v>333</v>
      </c>
      <c r="B202" t="s">
        <v>53</v>
      </c>
      <c r="C202" t="s">
        <v>334</v>
      </c>
      <c r="D202" t="s">
        <v>456</v>
      </c>
      <c r="E202" t="s">
        <v>872</v>
      </c>
      <c r="F202" t="s">
        <v>873</v>
      </c>
      <c r="G202" t="s">
        <v>456</v>
      </c>
      <c r="H202" t="s">
        <v>29</v>
      </c>
      <c r="I202" t="s">
        <v>871</v>
      </c>
      <c r="L202" s="33"/>
      <c r="M202" s="34"/>
      <c r="N202">
        <f t="shared" si="3"/>
        <v>196</v>
      </c>
    </row>
    <row r="203" spans="1:14">
      <c r="A203" t="s">
        <v>333</v>
      </c>
      <c r="B203" t="s">
        <v>53</v>
      </c>
      <c r="C203" t="s">
        <v>334</v>
      </c>
      <c r="D203" t="s">
        <v>480</v>
      </c>
      <c r="E203" t="s">
        <v>874</v>
      </c>
      <c r="F203" t="s">
        <v>875</v>
      </c>
      <c r="G203" t="s">
        <v>480</v>
      </c>
      <c r="H203" t="s">
        <v>29</v>
      </c>
      <c r="I203" t="s">
        <v>876</v>
      </c>
      <c r="L203" s="33"/>
      <c r="M203" s="34"/>
      <c r="N203">
        <f t="shared" si="3"/>
        <v>197</v>
      </c>
    </row>
    <row r="204" spans="1:14">
      <c r="A204" t="s">
        <v>333</v>
      </c>
      <c r="B204" t="s">
        <v>53</v>
      </c>
      <c r="C204" t="s">
        <v>334</v>
      </c>
      <c r="D204" t="s">
        <v>156</v>
      </c>
      <c r="E204" t="s">
        <v>877</v>
      </c>
      <c r="F204" t="s">
        <v>878</v>
      </c>
      <c r="G204" t="s">
        <v>156</v>
      </c>
      <c r="H204" t="s">
        <v>29</v>
      </c>
      <c r="I204" t="s">
        <v>879</v>
      </c>
      <c r="J204" t="s">
        <v>879</v>
      </c>
      <c r="L204" s="33"/>
      <c r="M204" s="34"/>
      <c r="N204">
        <f t="shared" si="3"/>
        <v>198</v>
      </c>
    </row>
    <row r="205" spans="1:14">
      <c r="A205" t="s">
        <v>333</v>
      </c>
      <c r="B205" t="s">
        <v>53</v>
      </c>
      <c r="C205" t="s">
        <v>334</v>
      </c>
      <c r="D205" t="s">
        <v>156</v>
      </c>
      <c r="E205" t="s">
        <v>880</v>
      </c>
      <c r="F205" t="s">
        <v>881</v>
      </c>
      <c r="G205" t="s">
        <v>156</v>
      </c>
      <c r="H205" t="s">
        <v>29</v>
      </c>
      <c r="I205" t="s">
        <v>879</v>
      </c>
      <c r="L205" s="33"/>
      <c r="M205" s="34"/>
      <c r="N205">
        <f t="shared" si="3"/>
        <v>199</v>
      </c>
    </row>
    <row r="206" spans="1:14">
      <c r="A206" t="s">
        <v>333</v>
      </c>
      <c r="B206" t="s">
        <v>53</v>
      </c>
      <c r="C206" t="s">
        <v>334</v>
      </c>
      <c r="D206" t="s">
        <v>156</v>
      </c>
      <c r="E206" t="s">
        <v>882</v>
      </c>
      <c r="F206" t="s">
        <v>883</v>
      </c>
      <c r="G206" t="s">
        <v>156</v>
      </c>
      <c r="H206" t="s">
        <v>29</v>
      </c>
      <c r="I206" t="s">
        <v>884</v>
      </c>
      <c r="L206" s="33"/>
      <c r="M206" s="34"/>
      <c r="N206">
        <f t="shared" si="3"/>
        <v>200</v>
      </c>
    </row>
    <row r="207" spans="1:14">
      <c r="A207" t="s">
        <v>333</v>
      </c>
      <c r="B207" t="s">
        <v>53</v>
      </c>
      <c r="C207" t="s">
        <v>334</v>
      </c>
      <c r="D207" t="s">
        <v>156</v>
      </c>
      <c r="E207" t="s">
        <v>885</v>
      </c>
      <c r="F207" t="s">
        <v>886</v>
      </c>
      <c r="G207" t="s">
        <v>156</v>
      </c>
      <c r="H207" t="s">
        <v>29</v>
      </c>
      <c r="I207" t="s">
        <v>879</v>
      </c>
      <c r="L207" s="33"/>
      <c r="M207" s="34"/>
      <c r="N207">
        <f t="shared" si="3"/>
        <v>201</v>
      </c>
    </row>
    <row r="208" spans="1:14">
      <c r="A208" t="s">
        <v>333</v>
      </c>
      <c r="B208" t="s">
        <v>53</v>
      </c>
      <c r="C208" t="s">
        <v>334</v>
      </c>
      <c r="D208" t="s">
        <v>156</v>
      </c>
      <c r="E208" t="s">
        <v>887</v>
      </c>
      <c r="F208" t="s">
        <v>888</v>
      </c>
      <c r="G208" t="s">
        <v>156</v>
      </c>
      <c r="H208" t="s">
        <v>29</v>
      </c>
      <c r="I208" t="s">
        <v>879</v>
      </c>
      <c r="L208" s="33"/>
      <c r="M208" s="34"/>
      <c r="N208">
        <f t="shared" si="3"/>
        <v>202</v>
      </c>
    </row>
    <row r="209" spans="1:14">
      <c r="A209" t="s">
        <v>333</v>
      </c>
      <c r="B209" t="s">
        <v>53</v>
      </c>
      <c r="C209" t="s">
        <v>334</v>
      </c>
      <c r="D209" t="s">
        <v>156</v>
      </c>
      <c r="E209" t="s">
        <v>889</v>
      </c>
      <c r="F209" t="s">
        <v>890</v>
      </c>
      <c r="G209" t="s">
        <v>156</v>
      </c>
      <c r="H209" t="s">
        <v>29</v>
      </c>
      <c r="I209" t="s">
        <v>879</v>
      </c>
      <c r="L209" s="33"/>
      <c r="M209" s="34"/>
      <c r="N209">
        <f t="shared" si="3"/>
        <v>203</v>
      </c>
    </row>
    <row r="210" spans="1:14">
      <c r="A210" t="s">
        <v>333</v>
      </c>
      <c r="B210" t="s">
        <v>53</v>
      </c>
      <c r="C210" t="s">
        <v>334</v>
      </c>
      <c r="D210" t="s">
        <v>156</v>
      </c>
      <c r="E210" t="s">
        <v>891</v>
      </c>
      <c r="F210" t="s">
        <v>892</v>
      </c>
      <c r="G210" t="s">
        <v>156</v>
      </c>
      <c r="H210" t="s">
        <v>29</v>
      </c>
      <c r="I210" t="s">
        <v>893</v>
      </c>
      <c r="L210" s="33"/>
      <c r="M210" s="34"/>
      <c r="N210">
        <f t="shared" si="3"/>
        <v>204</v>
      </c>
    </row>
    <row r="211" spans="1:14">
      <c r="A211" t="s">
        <v>333</v>
      </c>
      <c r="B211" t="s">
        <v>53</v>
      </c>
      <c r="C211" t="s">
        <v>334</v>
      </c>
      <c r="D211" t="s">
        <v>156</v>
      </c>
      <c r="E211" t="s">
        <v>894</v>
      </c>
      <c r="F211" t="s">
        <v>895</v>
      </c>
      <c r="G211" t="s">
        <v>156</v>
      </c>
      <c r="H211" t="s">
        <v>29</v>
      </c>
      <c r="I211" t="s">
        <v>893</v>
      </c>
      <c r="L211" s="33"/>
      <c r="M211" s="34"/>
      <c r="N211">
        <f t="shared" si="3"/>
        <v>205</v>
      </c>
    </row>
    <row r="212" spans="1:14">
      <c r="A212" t="s">
        <v>333</v>
      </c>
      <c r="B212" t="s">
        <v>53</v>
      </c>
      <c r="C212" t="s">
        <v>334</v>
      </c>
      <c r="D212" t="s">
        <v>156</v>
      </c>
      <c r="E212" t="s">
        <v>896</v>
      </c>
      <c r="F212" t="s">
        <v>897</v>
      </c>
      <c r="G212" t="s">
        <v>156</v>
      </c>
      <c r="H212" t="s">
        <v>29</v>
      </c>
      <c r="I212" t="s">
        <v>898</v>
      </c>
      <c r="L212" s="33"/>
      <c r="M212" s="34"/>
      <c r="N212">
        <f t="shared" si="3"/>
        <v>206</v>
      </c>
    </row>
    <row r="213" spans="1:14">
      <c r="A213" t="s">
        <v>333</v>
      </c>
      <c r="B213" t="s">
        <v>53</v>
      </c>
      <c r="C213" t="s">
        <v>334</v>
      </c>
      <c r="D213" t="s">
        <v>156</v>
      </c>
      <c r="E213" t="s">
        <v>899</v>
      </c>
      <c r="F213" t="s">
        <v>900</v>
      </c>
      <c r="G213" t="s">
        <v>156</v>
      </c>
      <c r="H213" t="s">
        <v>17</v>
      </c>
      <c r="I213" t="s">
        <v>898</v>
      </c>
      <c r="L213" s="33"/>
      <c r="M213" s="34"/>
      <c r="N213">
        <f t="shared" si="3"/>
        <v>207</v>
      </c>
    </row>
    <row r="214" spans="1:14">
      <c r="A214" t="s">
        <v>333</v>
      </c>
      <c r="B214" t="s">
        <v>53</v>
      </c>
      <c r="C214" t="s">
        <v>334</v>
      </c>
      <c r="D214" t="s">
        <v>156</v>
      </c>
      <c r="E214" t="s">
        <v>901</v>
      </c>
      <c r="F214" t="s">
        <v>902</v>
      </c>
      <c r="G214" t="s">
        <v>156</v>
      </c>
      <c r="H214" t="s">
        <v>17</v>
      </c>
      <c r="I214" t="s">
        <v>898</v>
      </c>
      <c r="L214" s="33"/>
      <c r="M214" s="34"/>
      <c r="N214">
        <f t="shared" si="3"/>
        <v>208</v>
      </c>
    </row>
    <row r="215" spans="1:14">
      <c r="A215" t="s">
        <v>333</v>
      </c>
      <c r="B215" t="s">
        <v>53</v>
      </c>
      <c r="C215" t="s">
        <v>334</v>
      </c>
      <c r="D215" t="s">
        <v>695</v>
      </c>
      <c r="E215" t="s">
        <v>903</v>
      </c>
      <c r="F215" t="s">
        <v>904</v>
      </c>
      <c r="G215" t="s">
        <v>905</v>
      </c>
      <c r="H215" t="s">
        <v>17</v>
      </c>
      <c r="I215"/>
      <c r="L215" s="33"/>
      <c r="M215" s="34"/>
      <c r="N215">
        <f t="shared" si="3"/>
        <v>209</v>
      </c>
    </row>
    <row r="216" spans="1:14">
      <c r="A216"/>
      <c r="B216"/>
      <c r="C216"/>
      <c r="D216"/>
      <c r="F216"/>
      <c r="G216"/>
      <c r="H216"/>
      <c r="I216"/>
      <c r="L216" s="33"/>
      <c r="M216" s="34"/>
      <c r="N216" t="str">
        <f t="shared" si="3"/>
        <v/>
      </c>
    </row>
    <row r="217" spans="1:14">
      <c r="A217" t="s">
        <v>333</v>
      </c>
      <c r="B217" t="s">
        <v>53</v>
      </c>
      <c r="C217" t="s">
        <v>334</v>
      </c>
      <c r="D217" t="s">
        <v>695</v>
      </c>
      <c r="E217" t="s">
        <v>906</v>
      </c>
      <c r="F217" t="s">
        <v>907</v>
      </c>
      <c r="G217" t="s">
        <v>905</v>
      </c>
      <c r="H217" t="s">
        <v>17</v>
      </c>
      <c r="I217"/>
      <c r="L217" s="33"/>
      <c r="M217" s="34"/>
      <c r="N217">
        <f t="shared" si="3"/>
        <v>211</v>
      </c>
    </row>
    <row r="218" spans="1:14">
      <c r="A218" t="s">
        <v>333</v>
      </c>
      <c r="B218" t="s">
        <v>53</v>
      </c>
      <c r="C218" t="s">
        <v>334</v>
      </c>
      <c r="D218" t="s">
        <v>695</v>
      </c>
      <c r="E218" t="s">
        <v>908</v>
      </c>
      <c r="F218" t="s">
        <v>909</v>
      </c>
      <c r="G218" t="s">
        <v>910</v>
      </c>
      <c r="H218" t="s">
        <v>17</v>
      </c>
      <c r="I218"/>
      <c r="L218" s="33"/>
      <c r="M218" s="34"/>
      <c r="N218">
        <f t="shared" si="3"/>
        <v>212</v>
      </c>
    </row>
    <row r="219" spans="1:14">
      <c r="A219" t="s">
        <v>333</v>
      </c>
      <c r="B219" t="s">
        <v>53</v>
      </c>
      <c r="C219" t="s">
        <v>334</v>
      </c>
      <c r="D219" t="s">
        <v>695</v>
      </c>
      <c r="E219" t="s">
        <v>911</v>
      </c>
      <c r="F219" t="s">
        <v>912</v>
      </c>
      <c r="G219" t="s">
        <v>910</v>
      </c>
      <c r="H219" t="s">
        <v>17</v>
      </c>
      <c r="I219"/>
      <c r="L219" s="33"/>
      <c r="M219" s="34"/>
      <c r="N219">
        <f t="shared" si="3"/>
        <v>213</v>
      </c>
    </row>
    <row r="220" spans="1:14">
      <c r="A220" t="s">
        <v>333</v>
      </c>
      <c r="B220" t="s">
        <v>53</v>
      </c>
      <c r="C220" t="s">
        <v>334</v>
      </c>
      <c r="D220" t="s">
        <v>695</v>
      </c>
      <c r="E220" t="s">
        <v>913</v>
      </c>
      <c r="F220" t="s">
        <v>914</v>
      </c>
      <c r="G220" t="s">
        <v>915</v>
      </c>
      <c r="H220" t="s">
        <v>17</v>
      </c>
      <c r="I220"/>
      <c r="L220" s="33"/>
      <c r="M220" s="34"/>
      <c r="N220">
        <f t="shared" si="3"/>
        <v>214</v>
      </c>
    </row>
    <row r="221" spans="1:14">
      <c r="A221" t="s">
        <v>333</v>
      </c>
      <c r="B221" t="s">
        <v>53</v>
      </c>
      <c r="C221" t="s">
        <v>334</v>
      </c>
      <c r="D221" t="s">
        <v>695</v>
      </c>
      <c r="E221" t="s">
        <v>916</v>
      </c>
      <c r="F221" t="s">
        <v>917</v>
      </c>
      <c r="G221" t="s">
        <v>918</v>
      </c>
      <c r="H221" t="s">
        <v>17</v>
      </c>
      <c r="I221"/>
      <c r="L221" s="33"/>
      <c r="M221" s="34"/>
      <c r="N221">
        <f t="shared" si="3"/>
        <v>215</v>
      </c>
    </row>
    <row r="222" spans="1:14">
      <c r="A222" t="s">
        <v>333</v>
      </c>
      <c r="B222" t="s">
        <v>53</v>
      </c>
      <c r="C222" t="s">
        <v>334</v>
      </c>
      <c r="D222" t="s">
        <v>695</v>
      </c>
      <c r="E222" t="s">
        <v>919</v>
      </c>
      <c r="F222" t="s">
        <v>920</v>
      </c>
      <c r="G222" t="s">
        <v>921</v>
      </c>
      <c r="H222" t="s">
        <v>17</v>
      </c>
      <c r="I222"/>
      <c r="L222" s="33"/>
      <c r="M222" s="34"/>
      <c r="N222">
        <f t="shared" si="3"/>
        <v>216</v>
      </c>
    </row>
    <row r="223" spans="1:14">
      <c r="A223" t="s">
        <v>333</v>
      </c>
      <c r="B223" t="s">
        <v>53</v>
      </c>
      <c r="C223" t="s">
        <v>334</v>
      </c>
      <c r="D223" t="s">
        <v>695</v>
      </c>
      <c r="E223" t="s">
        <v>922</v>
      </c>
      <c r="F223" t="s">
        <v>923</v>
      </c>
      <c r="G223" t="s">
        <v>924</v>
      </c>
      <c r="H223" s="19" t="s">
        <v>1483</v>
      </c>
      <c r="I223"/>
      <c r="L223" s="33"/>
      <c r="M223" s="34"/>
      <c r="N223">
        <f t="shared" si="3"/>
        <v>217</v>
      </c>
    </row>
    <row r="224" spans="1:14">
      <c r="A224" t="s">
        <v>333</v>
      </c>
      <c r="B224" t="s">
        <v>53</v>
      </c>
      <c r="C224" t="s">
        <v>334</v>
      </c>
      <c r="D224" t="s">
        <v>695</v>
      </c>
      <c r="E224" t="s">
        <v>925</v>
      </c>
      <c r="F224" t="s">
        <v>926</v>
      </c>
      <c r="G224" t="s">
        <v>927</v>
      </c>
      <c r="H224" t="s">
        <v>17</v>
      </c>
      <c r="I224"/>
      <c r="L224" s="33"/>
      <c r="M224" s="34"/>
      <c r="N224">
        <f t="shared" si="3"/>
        <v>218</v>
      </c>
    </row>
    <row r="225" spans="1:14">
      <c r="A225" t="s">
        <v>333</v>
      </c>
      <c r="B225" t="s">
        <v>53</v>
      </c>
      <c r="C225" t="s">
        <v>334</v>
      </c>
      <c r="D225" t="s">
        <v>695</v>
      </c>
      <c r="E225" t="s">
        <v>928</v>
      </c>
      <c r="F225" t="s">
        <v>929</v>
      </c>
      <c r="G225" t="s">
        <v>930</v>
      </c>
      <c r="H225" s="19" t="s">
        <v>1483</v>
      </c>
      <c r="I225"/>
      <c r="L225" s="33"/>
      <c r="M225" s="34"/>
      <c r="N225">
        <f t="shared" si="3"/>
        <v>219</v>
      </c>
    </row>
    <row r="226" spans="1:14">
      <c r="A226" t="s">
        <v>333</v>
      </c>
      <c r="B226" t="s">
        <v>53</v>
      </c>
      <c r="C226" t="s">
        <v>334</v>
      </c>
      <c r="D226" t="s">
        <v>695</v>
      </c>
      <c r="E226" t="s">
        <v>931</v>
      </c>
      <c r="F226" t="s">
        <v>932</v>
      </c>
      <c r="G226" t="s">
        <v>933</v>
      </c>
      <c r="H226" t="s">
        <v>17</v>
      </c>
      <c r="I226"/>
      <c r="J226" t="s">
        <v>934</v>
      </c>
      <c r="L226" s="33"/>
      <c r="M226" s="34"/>
      <c r="N226">
        <f t="shared" si="3"/>
        <v>220</v>
      </c>
    </row>
    <row r="227" spans="1:14">
      <c r="A227" t="s">
        <v>333</v>
      </c>
      <c r="B227" t="s">
        <v>53</v>
      </c>
      <c r="C227" t="s">
        <v>334</v>
      </c>
      <c r="D227" t="s">
        <v>695</v>
      </c>
      <c r="E227" t="s">
        <v>935</v>
      </c>
      <c r="F227" t="s">
        <v>936</v>
      </c>
      <c r="G227" t="s">
        <v>937</v>
      </c>
      <c r="H227" t="s">
        <v>17</v>
      </c>
      <c r="I227"/>
      <c r="L227" s="33"/>
      <c r="M227" s="34"/>
      <c r="N227">
        <f t="shared" si="3"/>
        <v>221</v>
      </c>
    </row>
    <row r="228" spans="1:14">
      <c r="A228" t="s">
        <v>333</v>
      </c>
      <c r="B228" t="s">
        <v>53</v>
      </c>
      <c r="C228" t="s">
        <v>334</v>
      </c>
      <c r="D228" t="s">
        <v>695</v>
      </c>
      <c r="E228" t="s">
        <v>938</v>
      </c>
      <c r="F228" t="s">
        <v>939</v>
      </c>
      <c r="G228" t="s">
        <v>940</v>
      </c>
      <c r="H228" t="s">
        <v>17</v>
      </c>
      <c r="I228"/>
      <c r="L228" s="33"/>
      <c r="M228" s="34"/>
      <c r="N228">
        <f t="shared" si="3"/>
        <v>222</v>
      </c>
    </row>
    <row r="229" spans="1:14">
      <c r="A229" t="s">
        <v>333</v>
      </c>
      <c r="B229" t="s">
        <v>53</v>
      </c>
      <c r="C229" t="s">
        <v>334</v>
      </c>
      <c r="D229" t="s">
        <v>695</v>
      </c>
      <c r="E229" t="s">
        <v>941</v>
      </c>
      <c r="F229" t="s">
        <v>942</v>
      </c>
      <c r="G229" t="s">
        <v>943</v>
      </c>
      <c r="H229" t="s">
        <v>17</v>
      </c>
      <c r="I229"/>
      <c r="L229" s="33"/>
      <c r="M229" s="34"/>
      <c r="N229">
        <f t="shared" si="3"/>
        <v>223</v>
      </c>
    </row>
    <row r="230" spans="1:14">
      <c r="A230" t="s">
        <v>333</v>
      </c>
      <c r="B230" t="s">
        <v>53</v>
      </c>
      <c r="C230" t="s">
        <v>334</v>
      </c>
      <c r="D230" t="s">
        <v>695</v>
      </c>
      <c r="E230" t="s">
        <v>944</v>
      </c>
      <c r="F230" t="s">
        <v>945</v>
      </c>
      <c r="G230" t="s">
        <v>946</v>
      </c>
      <c r="H230" t="s">
        <v>17</v>
      </c>
      <c r="I230"/>
      <c r="L230" s="33"/>
      <c r="M230" s="34"/>
      <c r="N230">
        <f t="shared" si="3"/>
        <v>224</v>
      </c>
    </row>
    <row r="231" spans="1:14">
      <c r="A231" t="s">
        <v>333</v>
      </c>
      <c r="B231" t="s">
        <v>53</v>
      </c>
      <c r="C231" t="s">
        <v>334</v>
      </c>
      <c r="D231" t="s">
        <v>695</v>
      </c>
      <c r="E231" t="s">
        <v>947</v>
      </c>
      <c r="F231" t="s">
        <v>948</v>
      </c>
      <c r="G231" t="s">
        <v>949</v>
      </c>
      <c r="H231" s="19" t="s">
        <v>1483</v>
      </c>
      <c r="I231"/>
      <c r="L231" s="33"/>
      <c r="M231" s="34"/>
      <c r="N231">
        <f t="shared" si="3"/>
        <v>225</v>
      </c>
    </row>
    <row r="232" spans="1:14">
      <c r="A232" t="s">
        <v>333</v>
      </c>
      <c r="B232" t="s">
        <v>53</v>
      </c>
      <c r="C232" t="s">
        <v>334</v>
      </c>
      <c r="D232" t="s">
        <v>695</v>
      </c>
      <c r="E232" t="s">
        <v>950</v>
      </c>
      <c r="F232" t="s">
        <v>951</v>
      </c>
      <c r="G232" t="s">
        <v>952</v>
      </c>
      <c r="H232" s="19" t="s">
        <v>1483</v>
      </c>
      <c r="I232"/>
      <c r="L232" s="33"/>
      <c r="M232" s="34"/>
      <c r="N232">
        <f t="shared" si="3"/>
        <v>226</v>
      </c>
    </row>
    <row r="233" spans="1:14">
      <c r="A233" t="s">
        <v>333</v>
      </c>
      <c r="B233" t="s">
        <v>53</v>
      </c>
      <c r="C233" t="s">
        <v>334</v>
      </c>
      <c r="D233" t="s">
        <v>695</v>
      </c>
      <c r="E233" t="s">
        <v>953</v>
      </c>
      <c r="F233" t="s">
        <v>954</v>
      </c>
      <c r="G233" t="s">
        <v>955</v>
      </c>
      <c r="H233" s="19" t="s">
        <v>1483</v>
      </c>
      <c r="I233"/>
      <c r="J233" t="s">
        <v>934</v>
      </c>
      <c r="L233" s="33"/>
      <c r="M233" s="34"/>
      <c r="N233">
        <f t="shared" si="3"/>
        <v>227</v>
      </c>
    </row>
    <row r="234" spans="1:14">
      <c r="A234" t="s">
        <v>333</v>
      </c>
      <c r="B234" t="s">
        <v>53</v>
      </c>
      <c r="C234" t="s">
        <v>334</v>
      </c>
      <c r="D234" t="s">
        <v>695</v>
      </c>
      <c r="E234" t="s">
        <v>956</v>
      </c>
      <c r="F234" t="s">
        <v>957</v>
      </c>
      <c r="G234" t="s">
        <v>958</v>
      </c>
      <c r="H234" t="s">
        <v>17</v>
      </c>
      <c r="I234"/>
      <c r="J234" t="s">
        <v>959</v>
      </c>
      <c r="K234" t="s">
        <v>934</v>
      </c>
      <c r="L234" s="33"/>
      <c r="M234" s="34"/>
      <c r="N234">
        <f t="shared" si="3"/>
        <v>228</v>
      </c>
    </row>
    <row r="235" spans="1:14">
      <c r="A235" t="s">
        <v>333</v>
      </c>
      <c r="B235" t="s">
        <v>53</v>
      </c>
      <c r="C235" t="s">
        <v>334</v>
      </c>
      <c r="D235" t="s">
        <v>695</v>
      </c>
      <c r="E235" t="s">
        <v>960</v>
      </c>
      <c r="F235" t="s">
        <v>961</v>
      </c>
      <c r="G235" t="s">
        <v>905</v>
      </c>
      <c r="H235" t="s">
        <v>17</v>
      </c>
      <c r="I235"/>
      <c r="L235" s="33"/>
      <c r="M235" s="34"/>
      <c r="N235">
        <f t="shared" si="3"/>
        <v>229</v>
      </c>
    </row>
    <row r="236" spans="1:14">
      <c r="A236" t="s">
        <v>333</v>
      </c>
      <c r="B236" t="s">
        <v>53</v>
      </c>
      <c r="C236" t="s">
        <v>334</v>
      </c>
      <c r="D236" t="s">
        <v>695</v>
      </c>
      <c r="E236" t="s">
        <v>962</v>
      </c>
      <c r="F236" t="s">
        <v>963</v>
      </c>
      <c r="G236" t="s">
        <v>905</v>
      </c>
      <c r="H236" t="s">
        <v>17</v>
      </c>
      <c r="I236"/>
      <c r="L236" s="33"/>
      <c r="M236" s="34"/>
      <c r="N236">
        <f t="shared" si="3"/>
        <v>230</v>
      </c>
    </row>
    <row r="237" spans="1:14">
      <c r="A237" t="s">
        <v>333</v>
      </c>
      <c r="B237" t="s">
        <v>53</v>
      </c>
      <c r="C237" t="s">
        <v>334</v>
      </c>
      <c r="D237" t="s">
        <v>695</v>
      </c>
      <c r="E237" t="s">
        <v>964</v>
      </c>
      <c r="F237" t="s">
        <v>965</v>
      </c>
      <c r="G237" t="s">
        <v>966</v>
      </c>
      <c r="H237" s="19" t="s">
        <v>1483</v>
      </c>
      <c r="I237"/>
      <c r="L237" s="33"/>
      <c r="M237" s="34"/>
      <c r="N237">
        <f t="shared" si="3"/>
        <v>231</v>
      </c>
    </row>
    <row r="238" spans="1:14">
      <c r="A238" t="s">
        <v>333</v>
      </c>
      <c r="B238" t="s">
        <v>53</v>
      </c>
      <c r="C238" t="s">
        <v>334</v>
      </c>
      <c r="D238" t="s">
        <v>695</v>
      </c>
      <c r="E238" t="s">
        <v>967</v>
      </c>
      <c r="F238" t="s">
        <v>968</v>
      </c>
      <c r="G238" t="s">
        <v>969</v>
      </c>
      <c r="H238" s="19" t="s">
        <v>1483</v>
      </c>
      <c r="I238"/>
      <c r="L238" s="33"/>
      <c r="M238" s="34"/>
      <c r="N238">
        <f t="shared" si="3"/>
        <v>232</v>
      </c>
    </row>
    <row r="239" spans="1:14">
      <c r="A239" t="s">
        <v>265</v>
      </c>
      <c r="B239" t="s">
        <v>207</v>
      </c>
      <c r="C239" t="s">
        <v>266</v>
      </c>
      <c r="D239" t="s">
        <v>970</v>
      </c>
      <c r="E239" t="s">
        <v>971</v>
      </c>
      <c r="F239" t="s">
        <v>972</v>
      </c>
      <c r="G239" t="s">
        <v>970</v>
      </c>
      <c r="H239" t="s">
        <v>29</v>
      </c>
      <c r="I239" t="s">
        <v>973</v>
      </c>
      <c r="J239" t="s">
        <v>974</v>
      </c>
      <c r="L239" s="33"/>
      <c r="M239" s="34"/>
      <c r="N239">
        <f t="shared" si="3"/>
        <v>233</v>
      </c>
    </row>
    <row r="240" spans="1:14">
      <c r="A240" t="s">
        <v>265</v>
      </c>
      <c r="B240" t="s">
        <v>207</v>
      </c>
      <c r="C240" t="s">
        <v>266</v>
      </c>
      <c r="D240" t="s">
        <v>970</v>
      </c>
      <c r="E240" t="s">
        <v>975</v>
      </c>
      <c r="F240" t="s">
        <v>976</v>
      </c>
      <c r="G240" t="s">
        <v>970</v>
      </c>
      <c r="H240" t="s">
        <v>29</v>
      </c>
      <c r="I240" t="s">
        <v>977</v>
      </c>
      <c r="J240"/>
      <c r="L240" s="33"/>
      <c r="M240" s="34"/>
      <c r="N240">
        <f t="shared" si="3"/>
        <v>234</v>
      </c>
    </row>
    <row r="241" spans="1:14">
      <c r="A241" t="s">
        <v>265</v>
      </c>
      <c r="B241" t="s">
        <v>207</v>
      </c>
      <c r="C241" t="s">
        <v>266</v>
      </c>
      <c r="D241" t="s">
        <v>970</v>
      </c>
      <c r="E241" t="s">
        <v>978</v>
      </c>
      <c r="F241" t="s">
        <v>979</v>
      </c>
      <c r="G241" t="s">
        <v>970</v>
      </c>
      <c r="H241" t="s">
        <v>29</v>
      </c>
      <c r="I241" t="s">
        <v>980</v>
      </c>
      <c r="L241" s="33"/>
      <c r="M241" s="34"/>
      <c r="N241">
        <f t="shared" si="3"/>
        <v>235</v>
      </c>
    </row>
    <row r="242" spans="1:14">
      <c r="A242" t="s">
        <v>265</v>
      </c>
      <c r="B242" t="s">
        <v>207</v>
      </c>
      <c r="C242" t="s">
        <v>266</v>
      </c>
      <c r="D242" t="s">
        <v>970</v>
      </c>
      <c r="E242" t="s">
        <v>981</v>
      </c>
      <c r="F242" t="s">
        <v>982</v>
      </c>
      <c r="G242" t="s">
        <v>970</v>
      </c>
      <c r="H242" t="s">
        <v>29</v>
      </c>
      <c r="I242" t="s">
        <v>983</v>
      </c>
      <c r="L242" s="33"/>
      <c r="M242" s="34"/>
      <c r="N242">
        <f t="shared" si="3"/>
        <v>236</v>
      </c>
    </row>
    <row r="243" spans="1:14">
      <c r="A243" t="s">
        <v>265</v>
      </c>
      <c r="B243" t="s">
        <v>207</v>
      </c>
      <c r="C243" t="s">
        <v>266</v>
      </c>
      <c r="D243" t="s">
        <v>970</v>
      </c>
      <c r="E243" t="s">
        <v>984</v>
      </c>
      <c r="F243" t="s">
        <v>985</v>
      </c>
      <c r="G243" t="s">
        <v>970</v>
      </c>
      <c r="H243" t="s">
        <v>29</v>
      </c>
      <c r="I243" t="s">
        <v>986</v>
      </c>
      <c r="L243" s="33"/>
      <c r="M243" s="34"/>
      <c r="N243">
        <f t="shared" si="3"/>
        <v>237</v>
      </c>
    </row>
    <row r="244" spans="1:14">
      <c r="A244" t="s">
        <v>265</v>
      </c>
      <c r="B244" t="s">
        <v>207</v>
      </c>
      <c r="C244" t="s">
        <v>266</v>
      </c>
      <c r="D244" t="s">
        <v>970</v>
      </c>
      <c r="E244" t="s">
        <v>987</v>
      </c>
      <c r="F244" t="s">
        <v>988</v>
      </c>
      <c r="G244" t="s">
        <v>970</v>
      </c>
      <c r="H244" t="s">
        <v>29</v>
      </c>
      <c r="I244" t="s">
        <v>989</v>
      </c>
      <c r="L244" s="33"/>
      <c r="M244" s="34"/>
      <c r="N244">
        <f t="shared" si="3"/>
        <v>238</v>
      </c>
    </row>
    <row r="245" spans="1:14">
      <c r="A245" t="s">
        <v>265</v>
      </c>
      <c r="B245" t="s">
        <v>207</v>
      </c>
      <c r="C245" t="s">
        <v>266</v>
      </c>
      <c r="D245" t="s">
        <v>990</v>
      </c>
      <c r="E245" t="s">
        <v>991</v>
      </c>
      <c r="F245" t="s">
        <v>992</v>
      </c>
      <c r="G245" t="s">
        <v>990</v>
      </c>
      <c r="H245" t="s">
        <v>29</v>
      </c>
      <c r="I245" t="s">
        <v>993</v>
      </c>
      <c r="L245" s="33"/>
      <c r="M245" s="34"/>
      <c r="N245">
        <f t="shared" si="3"/>
        <v>239</v>
      </c>
    </row>
    <row r="246" spans="1:14">
      <c r="A246" t="s">
        <v>265</v>
      </c>
      <c r="B246" t="s">
        <v>207</v>
      </c>
      <c r="C246" t="s">
        <v>266</v>
      </c>
      <c r="D246" t="s">
        <v>990</v>
      </c>
      <c r="E246" t="s">
        <v>994</v>
      </c>
      <c r="F246" t="s">
        <v>995</v>
      </c>
      <c r="G246" t="s">
        <v>990</v>
      </c>
      <c r="H246" t="s">
        <v>29</v>
      </c>
      <c r="I246" t="s">
        <v>996</v>
      </c>
      <c r="L246" s="33"/>
      <c r="M246" s="34"/>
      <c r="N246">
        <f t="shared" si="3"/>
        <v>240</v>
      </c>
    </row>
    <row r="247" spans="1:14">
      <c r="A247" t="s">
        <v>265</v>
      </c>
      <c r="B247" t="s">
        <v>207</v>
      </c>
      <c r="C247" t="s">
        <v>266</v>
      </c>
      <c r="D247" t="s">
        <v>990</v>
      </c>
      <c r="E247" t="s">
        <v>997</v>
      </c>
      <c r="F247" t="s">
        <v>998</v>
      </c>
      <c r="G247" t="s">
        <v>990</v>
      </c>
      <c r="H247" t="s">
        <v>29</v>
      </c>
      <c r="I247" t="s">
        <v>999</v>
      </c>
      <c r="L247" s="33"/>
      <c r="M247" s="34"/>
      <c r="N247">
        <f t="shared" si="3"/>
        <v>241</v>
      </c>
    </row>
    <row r="248" spans="1:14">
      <c r="A248" t="s">
        <v>265</v>
      </c>
      <c r="B248" t="s">
        <v>207</v>
      </c>
      <c r="C248" t="s">
        <v>266</v>
      </c>
      <c r="D248" t="s">
        <v>990</v>
      </c>
      <c r="E248" t="s">
        <v>1000</v>
      </c>
      <c r="F248" t="s">
        <v>438</v>
      </c>
      <c r="G248" t="s">
        <v>990</v>
      </c>
      <c r="H248" t="s">
        <v>29</v>
      </c>
      <c r="I248" t="s">
        <v>1001</v>
      </c>
      <c r="J248"/>
      <c r="L248" s="33"/>
      <c r="M248" s="34"/>
      <c r="N248">
        <f t="shared" si="3"/>
        <v>242</v>
      </c>
    </row>
    <row r="249" spans="1:14">
      <c r="A249" t="s">
        <v>265</v>
      </c>
      <c r="B249" t="s">
        <v>207</v>
      </c>
      <c r="C249" t="s">
        <v>266</v>
      </c>
      <c r="D249" t="s">
        <v>990</v>
      </c>
      <c r="E249" t="s">
        <v>1002</v>
      </c>
      <c r="F249" t="s">
        <v>1003</v>
      </c>
      <c r="G249" t="s">
        <v>990</v>
      </c>
      <c r="H249" t="s">
        <v>29</v>
      </c>
      <c r="I249" t="s">
        <v>1004</v>
      </c>
      <c r="L249" s="33"/>
      <c r="M249" s="34"/>
      <c r="N249">
        <f t="shared" si="3"/>
        <v>243</v>
      </c>
    </row>
    <row r="250" spans="1:14">
      <c r="A250" t="s">
        <v>265</v>
      </c>
      <c r="B250" t="s">
        <v>207</v>
      </c>
      <c r="C250" t="s">
        <v>266</v>
      </c>
      <c r="D250" t="s">
        <v>990</v>
      </c>
      <c r="E250" t="s">
        <v>1005</v>
      </c>
      <c r="F250" t="s">
        <v>1006</v>
      </c>
      <c r="G250" t="s">
        <v>990</v>
      </c>
      <c r="H250" t="s">
        <v>29</v>
      </c>
      <c r="I250" t="s">
        <v>1007</v>
      </c>
      <c r="L250" s="33"/>
      <c r="M250" s="34"/>
      <c r="N250">
        <f t="shared" si="3"/>
        <v>244</v>
      </c>
    </row>
    <row r="251" spans="1:14">
      <c r="A251" t="s">
        <v>265</v>
      </c>
      <c r="B251" t="s">
        <v>207</v>
      </c>
      <c r="C251" t="s">
        <v>266</v>
      </c>
      <c r="D251" t="s">
        <v>990</v>
      </c>
      <c r="E251" t="s">
        <v>1008</v>
      </c>
      <c r="F251" t="s">
        <v>1009</v>
      </c>
      <c r="G251" t="s">
        <v>990</v>
      </c>
      <c r="H251" t="s">
        <v>29</v>
      </c>
      <c r="I251" t="s">
        <v>1010</v>
      </c>
      <c r="L251" s="33"/>
      <c r="M251" s="34"/>
      <c r="N251">
        <f t="shared" si="3"/>
        <v>245</v>
      </c>
    </row>
    <row r="252" spans="1:14">
      <c r="A252" t="s">
        <v>265</v>
      </c>
      <c r="B252" t="s">
        <v>207</v>
      </c>
      <c r="C252" t="s">
        <v>266</v>
      </c>
      <c r="D252" t="s">
        <v>990</v>
      </c>
      <c r="E252" t="s">
        <v>1011</v>
      </c>
      <c r="F252" t="s">
        <v>1012</v>
      </c>
      <c r="G252" t="s">
        <v>990</v>
      </c>
      <c r="H252" t="s">
        <v>29</v>
      </c>
      <c r="I252" t="s">
        <v>1013</v>
      </c>
      <c r="L252" s="33"/>
      <c r="M252" s="34"/>
      <c r="N252">
        <f t="shared" si="3"/>
        <v>246</v>
      </c>
    </row>
    <row r="253" spans="1:14">
      <c r="A253" t="s">
        <v>265</v>
      </c>
      <c r="B253" t="s">
        <v>207</v>
      </c>
      <c r="C253" t="s">
        <v>266</v>
      </c>
      <c r="D253" t="s">
        <v>990</v>
      </c>
      <c r="E253" t="s">
        <v>1014</v>
      </c>
      <c r="F253" t="s">
        <v>1015</v>
      </c>
      <c r="G253" t="s">
        <v>990</v>
      </c>
      <c r="H253" t="s">
        <v>29</v>
      </c>
      <c r="I253" t="s">
        <v>1016</v>
      </c>
      <c r="L253" s="33"/>
      <c r="M253" s="34"/>
      <c r="N253">
        <f t="shared" si="3"/>
        <v>247</v>
      </c>
    </row>
    <row r="254" spans="1:14">
      <c r="A254" t="s">
        <v>265</v>
      </c>
      <c r="B254" t="s">
        <v>207</v>
      </c>
      <c r="C254" t="s">
        <v>266</v>
      </c>
      <c r="D254" t="s">
        <v>1017</v>
      </c>
      <c r="E254" t="s">
        <v>1018</v>
      </c>
      <c r="F254" t="s">
        <v>1019</v>
      </c>
      <c r="G254" t="s">
        <v>1017</v>
      </c>
      <c r="H254" t="s">
        <v>29</v>
      </c>
      <c r="I254" t="s">
        <v>1020</v>
      </c>
      <c r="L254" s="33"/>
      <c r="M254" s="34"/>
      <c r="N254">
        <f t="shared" si="3"/>
        <v>248</v>
      </c>
    </row>
    <row r="255" spans="1:14">
      <c r="A255" t="s">
        <v>265</v>
      </c>
      <c r="B255" t="s">
        <v>207</v>
      </c>
      <c r="C255" t="s">
        <v>266</v>
      </c>
      <c r="D255" t="s">
        <v>1017</v>
      </c>
      <c r="E255" t="s">
        <v>1021</v>
      </c>
      <c r="F255" t="s">
        <v>1022</v>
      </c>
      <c r="G255" t="s">
        <v>1017</v>
      </c>
      <c r="H255" t="s">
        <v>29</v>
      </c>
      <c r="I255" t="s">
        <v>1023</v>
      </c>
      <c r="J255"/>
      <c r="L255" s="33"/>
      <c r="M255" s="34"/>
      <c r="N255">
        <f t="shared" si="3"/>
        <v>249</v>
      </c>
    </row>
    <row r="256" spans="1:14">
      <c r="A256" t="s">
        <v>265</v>
      </c>
      <c r="B256" t="s">
        <v>207</v>
      </c>
      <c r="C256" t="s">
        <v>266</v>
      </c>
      <c r="D256" t="s">
        <v>1017</v>
      </c>
      <c r="E256" t="s">
        <v>1024</v>
      </c>
      <c r="F256" t="s">
        <v>1025</v>
      </c>
      <c r="G256" t="s">
        <v>1017</v>
      </c>
      <c r="H256" t="s">
        <v>29</v>
      </c>
      <c r="I256" t="s">
        <v>1016</v>
      </c>
      <c r="L256" s="33"/>
      <c r="M256" s="34"/>
      <c r="N256">
        <f t="shared" si="3"/>
        <v>250</v>
      </c>
    </row>
    <row r="257" spans="1:14">
      <c r="A257" t="s">
        <v>265</v>
      </c>
      <c r="B257" t="s">
        <v>207</v>
      </c>
      <c r="C257" t="s">
        <v>266</v>
      </c>
      <c r="D257" t="s">
        <v>1017</v>
      </c>
      <c r="E257" t="s">
        <v>1026</v>
      </c>
      <c r="F257" t="s">
        <v>1027</v>
      </c>
      <c r="G257" t="s">
        <v>1017</v>
      </c>
      <c r="H257" t="s">
        <v>29</v>
      </c>
      <c r="I257" t="s">
        <v>1028</v>
      </c>
      <c r="L257" s="33"/>
      <c r="M257" s="34"/>
      <c r="N257">
        <f t="shared" si="3"/>
        <v>251</v>
      </c>
    </row>
    <row r="258" spans="1:14">
      <c r="A258" t="s">
        <v>265</v>
      </c>
      <c r="B258" t="s">
        <v>207</v>
      </c>
      <c r="C258" t="s">
        <v>266</v>
      </c>
      <c r="D258" t="s">
        <v>1017</v>
      </c>
      <c r="E258" t="s">
        <v>1029</v>
      </c>
      <c r="F258" t="s">
        <v>1030</v>
      </c>
      <c r="G258" t="s">
        <v>1017</v>
      </c>
      <c r="H258" t="s">
        <v>29</v>
      </c>
      <c r="I258" t="s">
        <v>1031</v>
      </c>
      <c r="L258" s="33"/>
      <c r="M258" s="34"/>
      <c r="N258">
        <f t="shared" ref="N258:N321" si="4">IFERROR(VALUE(MID(E258,3,5)),"")</f>
        <v>252</v>
      </c>
    </row>
    <row r="259" spans="1:14">
      <c r="A259" t="s">
        <v>265</v>
      </c>
      <c r="B259" t="s">
        <v>207</v>
      </c>
      <c r="C259" t="s">
        <v>266</v>
      </c>
      <c r="D259" t="s">
        <v>1017</v>
      </c>
      <c r="E259" t="s">
        <v>1032</v>
      </c>
      <c r="F259" t="s">
        <v>502</v>
      </c>
      <c r="G259" t="s">
        <v>1017</v>
      </c>
      <c r="H259" t="s">
        <v>29</v>
      </c>
      <c r="I259" t="s">
        <v>1033</v>
      </c>
      <c r="L259" s="33"/>
      <c r="M259" s="34"/>
      <c r="N259">
        <f t="shared" si="4"/>
        <v>253</v>
      </c>
    </row>
    <row r="260" spans="1:14">
      <c r="A260" t="s">
        <v>265</v>
      </c>
      <c r="B260" t="s">
        <v>207</v>
      </c>
      <c r="C260" t="s">
        <v>266</v>
      </c>
      <c r="D260" t="s">
        <v>156</v>
      </c>
      <c r="E260" t="s">
        <v>1034</v>
      </c>
      <c r="F260" t="s">
        <v>1035</v>
      </c>
      <c r="G260" t="s">
        <v>156</v>
      </c>
      <c r="H260" t="s">
        <v>29</v>
      </c>
      <c r="I260" t="s">
        <v>1036</v>
      </c>
      <c r="L260" s="33"/>
      <c r="M260" s="34"/>
      <c r="N260">
        <f t="shared" si="4"/>
        <v>254</v>
      </c>
    </row>
    <row r="261" spans="1:14">
      <c r="A261" t="s">
        <v>265</v>
      </c>
      <c r="B261" t="s">
        <v>207</v>
      </c>
      <c r="C261" t="s">
        <v>266</v>
      </c>
      <c r="D261" t="s">
        <v>1037</v>
      </c>
      <c r="E261" t="s">
        <v>1038</v>
      </c>
      <c r="F261" t="s">
        <v>1039</v>
      </c>
      <c r="G261" t="s">
        <v>1037</v>
      </c>
      <c r="H261" t="s">
        <v>29</v>
      </c>
      <c r="L261" s="33"/>
      <c r="M261" s="34"/>
      <c r="N261">
        <f t="shared" si="4"/>
        <v>255</v>
      </c>
    </row>
    <row r="262" spans="1:14">
      <c r="L262" s="33"/>
      <c r="M262" s="34"/>
      <c r="N262" t="str">
        <f t="shared" si="4"/>
        <v/>
      </c>
    </row>
    <row r="263" spans="1:14">
      <c r="A263" t="s">
        <v>208</v>
      </c>
      <c r="B263" t="s">
        <v>207</v>
      </c>
      <c r="C263" t="s">
        <v>181</v>
      </c>
      <c r="D263" t="s">
        <v>1040</v>
      </c>
      <c r="E263" t="s">
        <v>1041</v>
      </c>
      <c r="F263" t="s">
        <v>1042</v>
      </c>
      <c r="I263"/>
      <c r="L263" s="33"/>
      <c r="M263" s="34"/>
      <c r="N263">
        <f t="shared" si="4"/>
        <v>256</v>
      </c>
    </row>
    <row r="264" spans="1:14">
      <c r="A264" t="s">
        <v>208</v>
      </c>
      <c r="B264" t="s">
        <v>207</v>
      </c>
      <c r="C264" t="s">
        <v>181</v>
      </c>
      <c r="D264" t="s">
        <v>1040</v>
      </c>
      <c r="E264" t="s">
        <v>1043</v>
      </c>
      <c r="F264" t="s">
        <v>1044</v>
      </c>
      <c r="I264"/>
      <c r="L264" s="33"/>
      <c r="M264" s="34"/>
      <c r="N264">
        <f t="shared" si="4"/>
        <v>257</v>
      </c>
    </row>
    <row r="265" spans="1:14">
      <c r="A265" t="s">
        <v>208</v>
      </c>
      <c r="B265" t="s">
        <v>207</v>
      </c>
      <c r="C265" t="s">
        <v>181</v>
      </c>
      <c r="D265" t="s">
        <v>1040</v>
      </c>
      <c r="E265" t="s">
        <v>1045</v>
      </c>
      <c r="F265" t="s">
        <v>1046</v>
      </c>
      <c r="I265"/>
      <c r="L265" s="33"/>
      <c r="M265" s="34"/>
      <c r="N265">
        <f t="shared" si="4"/>
        <v>258</v>
      </c>
    </row>
    <row r="266" spans="1:14">
      <c r="A266" t="s">
        <v>208</v>
      </c>
      <c r="B266" t="s">
        <v>207</v>
      </c>
      <c r="C266" t="s">
        <v>181</v>
      </c>
      <c r="D266" t="s">
        <v>1040</v>
      </c>
      <c r="E266" t="s">
        <v>1047</v>
      </c>
      <c r="F266" t="s">
        <v>1048</v>
      </c>
      <c r="I266"/>
      <c r="L266" s="33"/>
      <c r="M266" s="34"/>
      <c r="N266">
        <f t="shared" si="4"/>
        <v>259</v>
      </c>
    </row>
    <row r="267" spans="1:14">
      <c r="A267" t="s">
        <v>208</v>
      </c>
      <c r="B267" t="s">
        <v>207</v>
      </c>
      <c r="C267" t="s">
        <v>181</v>
      </c>
      <c r="D267" t="s">
        <v>1040</v>
      </c>
      <c r="E267" t="s">
        <v>1049</v>
      </c>
      <c r="F267" t="s">
        <v>1050</v>
      </c>
      <c r="I267"/>
      <c r="L267" s="33"/>
      <c r="M267" s="34"/>
      <c r="N267">
        <f t="shared" si="4"/>
        <v>260</v>
      </c>
    </row>
    <row r="268" spans="1:14">
      <c r="A268" t="s">
        <v>208</v>
      </c>
      <c r="B268" t="s">
        <v>207</v>
      </c>
      <c r="C268" t="s">
        <v>181</v>
      </c>
      <c r="D268" t="s">
        <v>1040</v>
      </c>
      <c r="E268" t="s">
        <v>1051</v>
      </c>
      <c r="F268" t="s">
        <v>1052</v>
      </c>
      <c r="I268"/>
      <c r="L268" s="33"/>
      <c r="M268" s="34"/>
      <c r="N268">
        <f t="shared" si="4"/>
        <v>261</v>
      </c>
    </row>
    <row r="269" spans="1:14">
      <c r="A269" t="s">
        <v>208</v>
      </c>
      <c r="B269" t="s">
        <v>207</v>
      </c>
      <c r="C269" t="s">
        <v>181</v>
      </c>
      <c r="D269" t="s">
        <v>1040</v>
      </c>
      <c r="E269" t="s">
        <v>1053</v>
      </c>
      <c r="F269" t="s">
        <v>1054</v>
      </c>
      <c r="I269"/>
      <c r="L269" s="33"/>
      <c r="M269" s="34"/>
      <c r="N269">
        <f t="shared" si="4"/>
        <v>262</v>
      </c>
    </row>
    <row r="270" spans="1:14">
      <c r="A270" t="s">
        <v>208</v>
      </c>
      <c r="B270" t="s">
        <v>207</v>
      </c>
      <c r="C270" t="s">
        <v>181</v>
      </c>
      <c r="D270" t="s">
        <v>1055</v>
      </c>
      <c r="E270" t="s">
        <v>1056</v>
      </c>
      <c r="F270" t="s">
        <v>1057</v>
      </c>
      <c r="I270"/>
      <c r="L270" s="33"/>
      <c r="M270" s="34"/>
      <c r="N270">
        <f t="shared" si="4"/>
        <v>263</v>
      </c>
    </row>
    <row r="271" spans="1:14">
      <c r="A271"/>
      <c r="B271"/>
      <c r="C271"/>
      <c r="D271"/>
      <c r="F271"/>
      <c r="L271" s="33"/>
      <c r="M271" s="34"/>
      <c r="N271" t="str">
        <f t="shared" si="4"/>
        <v/>
      </c>
    </row>
    <row r="272" spans="1:14">
      <c r="A272" t="s">
        <v>209</v>
      </c>
      <c r="B272" t="s">
        <v>207</v>
      </c>
      <c r="C272" t="s">
        <v>212</v>
      </c>
      <c r="D272" t="s">
        <v>178</v>
      </c>
      <c r="E272" t="s">
        <v>1058</v>
      </c>
      <c r="F272" t="s">
        <v>1059</v>
      </c>
      <c r="G272" t="s">
        <v>1060</v>
      </c>
      <c r="L272" s="33"/>
      <c r="M272" s="34"/>
      <c r="N272">
        <f t="shared" si="4"/>
        <v>264</v>
      </c>
    </row>
    <row r="273" spans="1:14">
      <c r="A273" t="s">
        <v>209</v>
      </c>
      <c r="B273" t="s">
        <v>207</v>
      </c>
      <c r="C273" t="s">
        <v>212</v>
      </c>
      <c r="D273" t="s">
        <v>178</v>
      </c>
      <c r="E273" t="s">
        <v>1061</v>
      </c>
      <c r="F273" t="s">
        <v>1062</v>
      </c>
      <c r="G273" t="s">
        <v>1060</v>
      </c>
      <c r="L273" s="33"/>
      <c r="M273" s="34"/>
      <c r="N273">
        <f t="shared" si="4"/>
        <v>265</v>
      </c>
    </row>
    <row r="274" spans="1:14">
      <c r="A274" t="s">
        <v>211</v>
      </c>
      <c r="B274" t="s">
        <v>207</v>
      </c>
      <c r="C274" t="s">
        <v>212</v>
      </c>
      <c r="D274" t="s">
        <v>178</v>
      </c>
      <c r="E274" t="s">
        <v>1063</v>
      </c>
      <c r="F274" t="s">
        <v>1064</v>
      </c>
      <c r="G274" t="s">
        <v>1065</v>
      </c>
      <c r="L274" s="33"/>
      <c r="M274" s="34"/>
      <c r="N274">
        <f t="shared" si="4"/>
        <v>266</v>
      </c>
    </row>
    <row r="275" spans="1:14">
      <c r="A275" t="s">
        <v>211</v>
      </c>
      <c r="B275" t="s">
        <v>207</v>
      </c>
      <c r="C275" t="s">
        <v>212</v>
      </c>
      <c r="D275" t="s">
        <v>178</v>
      </c>
      <c r="E275" t="s">
        <v>1066</v>
      </c>
      <c r="F275" t="s">
        <v>1067</v>
      </c>
      <c r="L275" s="33"/>
      <c r="M275" s="34"/>
      <c r="N275">
        <f t="shared" si="4"/>
        <v>267</v>
      </c>
    </row>
    <row r="276" spans="1:14">
      <c r="A276" t="s">
        <v>211</v>
      </c>
      <c r="B276" t="s">
        <v>207</v>
      </c>
      <c r="C276" t="s">
        <v>212</v>
      </c>
      <c r="D276" t="s">
        <v>178</v>
      </c>
      <c r="E276" t="s">
        <v>1068</v>
      </c>
      <c r="F276" t="s">
        <v>1069</v>
      </c>
      <c r="L276" s="33"/>
      <c r="M276" s="34"/>
      <c r="N276">
        <f t="shared" si="4"/>
        <v>268</v>
      </c>
    </row>
    <row r="277" spans="1:14">
      <c r="A277" t="s">
        <v>211</v>
      </c>
      <c r="B277" t="s">
        <v>207</v>
      </c>
      <c r="C277" t="s">
        <v>212</v>
      </c>
      <c r="D277" t="s">
        <v>178</v>
      </c>
      <c r="E277" t="s">
        <v>1070</v>
      </c>
      <c r="F277" t="s">
        <v>1071</v>
      </c>
      <c r="G277" t="s">
        <v>1072</v>
      </c>
      <c r="L277" s="33"/>
      <c r="M277" s="34"/>
      <c r="N277">
        <f t="shared" si="4"/>
        <v>269</v>
      </c>
    </row>
    <row r="278" spans="1:14">
      <c r="A278" t="s">
        <v>211</v>
      </c>
      <c r="B278" t="s">
        <v>207</v>
      </c>
      <c r="C278" t="s">
        <v>212</v>
      </c>
      <c r="D278" t="s">
        <v>178</v>
      </c>
      <c r="E278" t="s">
        <v>1073</v>
      </c>
      <c r="F278" t="s">
        <v>1074</v>
      </c>
      <c r="G278"/>
      <c r="H278"/>
      <c r="I278"/>
      <c r="L278" s="33"/>
      <c r="M278" s="34"/>
      <c r="N278">
        <f t="shared" si="4"/>
        <v>270</v>
      </c>
    </row>
    <row r="279" spans="1:14">
      <c r="A279" t="s">
        <v>211</v>
      </c>
      <c r="B279" t="s">
        <v>207</v>
      </c>
      <c r="C279" t="s">
        <v>212</v>
      </c>
      <c r="D279" t="s">
        <v>178</v>
      </c>
      <c r="E279" t="s">
        <v>1075</v>
      </c>
      <c r="F279" t="s">
        <v>527</v>
      </c>
      <c r="G279" t="s">
        <v>1076</v>
      </c>
      <c r="L279" s="33"/>
      <c r="M279" s="34"/>
      <c r="N279">
        <f t="shared" si="4"/>
        <v>271</v>
      </c>
    </row>
    <row r="280" spans="1:14">
      <c r="A280" t="s">
        <v>211</v>
      </c>
      <c r="B280" t="s">
        <v>207</v>
      </c>
      <c r="C280" t="s">
        <v>212</v>
      </c>
      <c r="D280" t="s">
        <v>178</v>
      </c>
      <c r="E280" t="s">
        <v>1077</v>
      </c>
      <c r="F280" t="s">
        <v>1078</v>
      </c>
      <c r="L280" s="33"/>
      <c r="M280" s="34"/>
      <c r="N280">
        <f t="shared" si="4"/>
        <v>272</v>
      </c>
    </row>
    <row r="281" spans="1:14">
      <c r="A281" t="s">
        <v>211</v>
      </c>
      <c r="B281" t="s">
        <v>207</v>
      </c>
      <c r="C281" t="s">
        <v>212</v>
      </c>
      <c r="D281" t="s">
        <v>178</v>
      </c>
      <c r="E281" t="s">
        <v>1079</v>
      </c>
      <c r="F281" t="s">
        <v>1080</v>
      </c>
      <c r="G281" t="s">
        <v>1081</v>
      </c>
      <c r="L281" s="33"/>
      <c r="M281" s="34"/>
      <c r="N281">
        <f t="shared" si="4"/>
        <v>273</v>
      </c>
    </row>
    <row r="282" spans="1:14">
      <c r="A282" t="s">
        <v>211</v>
      </c>
      <c r="B282" t="s">
        <v>207</v>
      </c>
      <c r="C282" t="s">
        <v>212</v>
      </c>
      <c r="D282" t="s">
        <v>178</v>
      </c>
      <c r="E282" t="s">
        <v>1082</v>
      </c>
      <c r="F282" t="s">
        <v>1083</v>
      </c>
      <c r="G282" t="s">
        <v>1084</v>
      </c>
      <c r="L282" s="33"/>
      <c r="M282" s="34"/>
      <c r="N282">
        <f t="shared" si="4"/>
        <v>274</v>
      </c>
    </row>
    <row r="283" spans="1:14">
      <c r="A283" t="s">
        <v>211</v>
      </c>
      <c r="B283" t="s">
        <v>207</v>
      </c>
      <c r="C283" t="s">
        <v>212</v>
      </c>
      <c r="D283" t="s">
        <v>178</v>
      </c>
      <c r="E283" t="s">
        <v>1085</v>
      </c>
      <c r="F283" t="s">
        <v>1086</v>
      </c>
      <c r="G283" t="s">
        <v>1050</v>
      </c>
      <c r="L283" s="33"/>
      <c r="M283" s="34"/>
      <c r="N283">
        <f t="shared" si="4"/>
        <v>275</v>
      </c>
    </row>
    <row r="284" spans="1:14">
      <c r="A284" t="s">
        <v>211</v>
      </c>
      <c r="B284" t="s">
        <v>207</v>
      </c>
      <c r="C284" t="s">
        <v>212</v>
      </c>
      <c r="D284" t="s">
        <v>178</v>
      </c>
      <c r="E284" t="s">
        <v>1087</v>
      </c>
      <c r="F284" t="s">
        <v>1088</v>
      </c>
      <c r="G284"/>
      <c r="H284"/>
      <c r="I284"/>
      <c r="L284" s="33"/>
      <c r="M284" s="34"/>
      <c r="N284">
        <f t="shared" si="4"/>
        <v>276</v>
      </c>
    </row>
    <row r="285" spans="1:14">
      <c r="A285" t="s">
        <v>211</v>
      </c>
      <c r="B285" t="s">
        <v>207</v>
      </c>
      <c r="C285" t="s">
        <v>212</v>
      </c>
      <c r="D285" t="s">
        <v>178</v>
      </c>
      <c r="E285" t="s">
        <v>1089</v>
      </c>
      <c r="F285" t="s">
        <v>1090</v>
      </c>
      <c r="L285" s="33"/>
      <c r="M285" s="34"/>
      <c r="N285">
        <f t="shared" si="4"/>
        <v>277</v>
      </c>
    </row>
    <row r="286" spans="1:14">
      <c r="A286" t="s">
        <v>211</v>
      </c>
      <c r="B286" t="s">
        <v>207</v>
      </c>
      <c r="C286" t="s">
        <v>212</v>
      </c>
      <c r="D286" t="s">
        <v>178</v>
      </c>
      <c r="E286" t="s">
        <v>1091</v>
      </c>
      <c r="F286" t="s">
        <v>1092</v>
      </c>
      <c r="G286" t="s">
        <v>484</v>
      </c>
      <c r="L286" s="33"/>
      <c r="M286" s="34"/>
      <c r="N286">
        <f t="shared" si="4"/>
        <v>278</v>
      </c>
    </row>
    <row r="287" spans="1:14">
      <c r="A287" t="s">
        <v>211</v>
      </c>
      <c r="B287" t="s">
        <v>207</v>
      </c>
      <c r="C287" t="s">
        <v>212</v>
      </c>
      <c r="D287" t="s">
        <v>178</v>
      </c>
      <c r="E287" t="s">
        <v>1093</v>
      </c>
      <c r="F287" t="s">
        <v>1094</v>
      </c>
      <c r="L287" s="33"/>
      <c r="M287" s="34"/>
      <c r="N287">
        <f t="shared" si="4"/>
        <v>279</v>
      </c>
    </row>
    <row r="288" spans="1:14">
      <c r="A288" t="s">
        <v>211</v>
      </c>
      <c r="B288" t="s">
        <v>207</v>
      </c>
      <c r="C288" t="s">
        <v>212</v>
      </c>
      <c r="D288" t="s">
        <v>178</v>
      </c>
      <c r="E288" t="s">
        <v>1095</v>
      </c>
      <c r="F288" t="s">
        <v>1096</v>
      </c>
      <c r="G288" t="s">
        <v>1097</v>
      </c>
      <c r="L288" s="33"/>
      <c r="M288" s="34"/>
      <c r="N288">
        <f t="shared" si="4"/>
        <v>280</v>
      </c>
    </row>
    <row r="289" spans="1:14">
      <c r="A289" t="s">
        <v>211</v>
      </c>
      <c r="B289" t="s">
        <v>207</v>
      </c>
      <c r="C289" t="s">
        <v>212</v>
      </c>
      <c r="D289" t="s">
        <v>178</v>
      </c>
      <c r="E289" t="s">
        <v>1098</v>
      </c>
      <c r="F289" t="s">
        <v>1099</v>
      </c>
      <c r="L289" s="33"/>
      <c r="M289" s="34"/>
      <c r="N289">
        <f t="shared" si="4"/>
        <v>281</v>
      </c>
    </row>
    <row r="290" spans="1:14">
      <c r="A290"/>
      <c r="B290"/>
      <c r="C290"/>
      <c r="D290"/>
      <c r="F290"/>
      <c r="L290" s="33"/>
      <c r="M290" s="34"/>
      <c r="N290" t="str">
        <f t="shared" si="4"/>
        <v/>
      </c>
    </row>
    <row r="291" spans="1:14">
      <c r="A291" t="s">
        <v>213</v>
      </c>
      <c r="B291" t="s">
        <v>207</v>
      </c>
      <c r="C291" t="s">
        <v>214</v>
      </c>
      <c r="D291" t="s">
        <v>178</v>
      </c>
      <c r="E291" t="s">
        <v>1100</v>
      </c>
      <c r="F291" t="s">
        <v>1101</v>
      </c>
      <c r="G291" t="s">
        <v>1102</v>
      </c>
      <c r="L291" s="33"/>
      <c r="M291" s="34"/>
      <c r="N291">
        <f t="shared" si="4"/>
        <v>282</v>
      </c>
    </row>
    <row r="292" spans="1:14">
      <c r="A292" t="s">
        <v>213</v>
      </c>
      <c r="B292" t="s">
        <v>207</v>
      </c>
      <c r="C292" t="s">
        <v>214</v>
      </c>
      <c r="D292" t="s">
        <v>178</v>
      </c>
      <c r="E292" t="s">
        <v>1103</v>
      </c>
      <c r="F292" t="s">
        <v>1104</v>
      </c>
      <c r="G292" t="s">
        <v>1105</v>
      </c>
      <c r="L292" s="33"/>
      <c r="M292" s="34"/>
      <c r="N292">
        <f t="shared" si="4"/>
        <v>283</v>
      </c>
    </row>
    <row r="293" spans="1:14">
      <c r="A293" t="s">
        <v>213</v>
      </c>
      <c r="B293" t="s">
        <v>207</v>
      </c>
      <c r="C293" t="s">
        <v>214</v>
      </c>
      <c r="D293" t="s">
        <v>178</v>
      </c>
      <c r="E293" t="s">
        <v>1106</v>
      </c>
      <c r="F293" t="s">
        <v>1107</v>
      </c>
      <c r="L293" s="33"/>
      <c r="M293" s="34"/>
      <c r="N293">
        <f t="shared" si="4"/>
        <v>284</v>
      </c>
    </row>
    <row r="294" spans="1:14">
      <c r="A294" t="s">
        <v>213</v>
      </c>
      <c r="B294" t="s">
        <v>207</v>
      </c>
      <c r="C294" t="s">
        <v>214</v>
      </c>
      <c r="D294" t="s">
        <v>178</v>
      </c>
      <c r="E294" t="s">
        <v>1108</v>
      </c>
      <c r="F294" t="s">
        <v>1109</v>
      </c>
      <c r="L294" s="33"/>
      <c r="M294" s="34"/>
      <c r="N294">
        <f t="shared" si="4"/>
        <v>285</v>
      </c>
    </row>
    <row r="295" spans="1:14">
      <c r="A295" t="s">
        <v>213</v>
      </c>
      <c r="B295" t="s">
        <v>207</v>
      </c>
      <c r="C295" t="s">
        <v>214</v>
      </c>
      <c r="D295" t="s">
        <v>178</v>
      </c>
      <c r="E295" t="s">
        <v>1110</v>
      </c>
      <c r="F295" t="s">
        <v>1111</v>
      </c>
      <c r="G295" t="s">
        <v>1112</v>
      </c>
      <c r="L295" s="33"/>
      <c r="M295" s="34"/>
      <c r="N295">
        <f t="shared" si="4"/>
        <v>286</v>
      </c>
    </row>
    <row r="296" spans="1:14">
      <c r="A296" t="s">
        <v>213</v>
      </c>
      <c r="B296" t="s">
        <v>207</v>
      </c>
      <c r="C296" t="s">
        <v>214</v>
      </c>
      <c r="D296" t="s">
        <v>178</v>
      </c>
      <c r="E296" t="s">
        <v>1113</v>
      </c>
      <c r="F296" t="s">
        <v>1114</v>
      </c>
      <c r="G296"/>
      <c r="H296"/>
      <c r="I296"/>
      <c r="L296" s="33"/>
      <c r="M296" s="34"/>
      <c r="N296">
        <f t="shared" si="4"/>
        <v>287</v>
      </c>
    </row>
    <row r="297" spans="1:14">
      <c r="A297" t="s">
        <v>213</v>
      </c>
      <c r="B297" t="s">
        <v>207</v>
      </c>
      <c r="C297" t="s">
        <v>214</v>
      </c>
      <c r="D297" t="s">
        <v>178</v>
      </c>
      <c r="E297" t="s">
        <v>1115</v>
      </c>
      <c r="F297" t="s">
        <v>1116</v>
      </c>
      <c r="L297" s="33"/>
      <c r="M297" s="34"/>
      <c r="N297">
        <f t="shared" si="4"/>
        <v>288</v>
      </c>
    </row>
    <row r="298" spans="1:14">
      <c r="A298" t="s">
        <v>213</v>
      </c>
      <c r="B298" t="s">
        <v>207</v>
      </c>
      <c r="C298" t="s">
        <v>214</v>
      </c>
      <c r="D298" t="s">
        <v>178</v>
      </c>
      <c r="E298" t="s">
        <v>1117</v>
      </c>
      <c r="F298" t="s">
        <v>1118</v>
      </c>
      <c r="L298" s="33"/>
      <c r="M298" s="34"/>
      <c r="N298">
        <f t="shared" si="4"/>
        <v>289</v>
      </c>
    </row>
    <row r="299" spans="1:14">
      <c r="A299" t="s">
        <v>213</v>
      </c>
      <c r="B299" t="s">
        <v>207</v>
      </c>
      <c r="C299" t="s">
        <v>214</v>
      </c>
      <c r="D299" t="s">
        <v>178</v>
      </c>
      <c r="E299" t="s">
        <v>1119</v>
      </c>
      <c r="F299" t="s">
        <v>1120</v>
      </c>
      <c r="L299" s="33"/>
      <c r="M299" s="34"/>
      <c r="N299">
        <f t="shared" si="4"/>
        <v>290</v>
      </c>
    </row>
    <row r="300" spans="1:14">
      <c r="A300" t="s">
        <v>213</v>
      </c>
      <c r="B300" t="s">
        <v>207</v>
      </c>
      <c r="C300" t="s">
        <v>214</v>
      </c>
      <c r="D300" t="s">
        <v>178</v>
      </c>
      <c r="E300" t="s">
        <v>1121</v>
      </c>
      <c r="F300" t="s">
        <v>1122</v>
      </c>
      <c r="L300" s="33"/>
      <c r="M300" s="34"/>
      <c r="N300">
        <f t="shared" si="4"/>
        <v>291</v>
      </c>
    </row>
    <row r="301" spans="1:14">
      <c r="A301" t="s">
        <v>213</v>
      </c>
      <c r="B301" t="s">
        <v>207</v>
      </c>
      <c r="C301" t="s">
        <v>214</v>
      </c>
      <c r="D301" t="s">
        <v>178</v>
      </c>
      <c r="E301" t="s">
        <v>1123</v>
      </c>
      <c r="F301" t="s">
        <v>1124</v>
      </c>
      <c r="L301" s="33"/>
      <c r="M301" s="34"/>
      <c r="N301">
        <f t="shared" si="4"/>
        <v>292</v>
      </c>
    </row>
    <row r="302" spans="1:14">
      <c r="A302" t="s">
        <v>213</v>
      </c>
      <c r="B302" t="s">
        <v>207</v>
      </c>
      <c r="C302" t="s">
        <v>214</v>
      </c>
      <c r="D302" t="s">
        <v>178</v>
      </c>
      <c r="E302" t="s">
        <v>1125</v>
      </c>
      <c r="F302" t="s">
        <v>1126</v>
      </c>
      <c r="L302" s="33"/>
      <c r="M302" s="34"/>
      <c r="N302">
        <f t="shared" si="4"/>
        <v>293</v>
      </c>
    </row>
    <row r="303" spans="1:14">
      <c r="A303" t="s">
        <v>213</v>
      </c>
      <c r="B303" t="s">
        <v>207</v>
      </c>
      <c r="C303" t="s">
        <v>214</v>
      </c>
      <c r="D303" t="s">
        <v>178</v>
      </c>
      <c r="E303" t="s">
        <v>1127</v>
      </c>
      <c r="F303" t="s">
        <v>1128</v>
      </c>
      <c r="L303" s="33"/>
      <c r="M303" s="34"/>
      <c r="N303">
        <f t="shared" si="4"/>
        <v>294</v>
      </c>
    </row>
    <row r="304" spans="1:14">
      <c r="A304" t="s">
        <v>213</v>
      </c>
      <c r="B304" t="s">
        <v>207</v>
      </c>
      <c r="C304" t="s">
        <v>214</v>
      </c>
      <c r="D304" t="s">
        <v>178</v>
      </c>
      <c r="E304" t="s">
        <v>1129</v>
      </c>
      <c r="F304" t="s">
        <v>1130</v>
      </c>
      <c r="L304" s="33"/>
      <c r="M304" s="34"/>
      <c r="N304">
        <f t="shared" si="4"/>
        <v>295</v>
      </c>
    </row>
    <row r="305" spans="1:14">
      <c r="A305" t="s">
        <v>213</v>
      </c>
      <c r="B305" t="s">
        <v>207</v>
      </c>
      <c r="C305" t="s">
        <v>214</v>
      </c>
      <c r="D305" t="s">
        <v>178</v>
      </c>
      <c r="E305" t="s">
        <v>1131</v>
      </c>
      <c r="F305" t="s">
        <v>1132</v>
      </c>
      <c r="L305" s="33"/>
      <c r="M305" s="34"/>
      <c r="N305">
        <f t="shared" si="4"/>
        <v>296</v>
      </c>
    </row>
    <row r="306" spans="1:14">
      <c r="A306" t="s">
        <v>213</v>
      </c>
      <c r="B306" t="s">
        <v>207</v>
      </c>
      <c r="C306" t="s">
        <v>214</v>
      </c>
      <c r="D306" t="s">
        <v>178</v>
      </c>
      <c r="E306" t="s">
        <v>1133</v>
      </c>
      <c r="F306" t="s">
        <v>1134</v>
      </c>
      <c r="L306" s="33"/>
      <c r="M306" s="34"/>
      <c r="N306">
        <f t="shared" si="4"/>
        <v>297</v>
      </c>
    </row>
    <row r="307" spans="1:14">
      <c r="A307" t="s">
        <v>213</v>
      </c>
      <c r="B307" t="s">
        <v>207</v>
      </c>
      <c r="C307" t="s">
        <v>214</v>
      </c>
      <c r="D307" t="s">
        <v>178</v>
      </c>
      <c r="E307" t="s">
        <v>1135</v>
      </c>
      <c r="F307" t="s">
        <v>1099</v>
      </c>
      <c r="L307" s="33"/>
      <c r="M307" s="34"/>
      <c r="N307">
        <f t="shared" si="4"/>
        <v>298</v>
      </c>
    </row>
    <row r="308" spans="1:14">
      <c r="A308" t="s">
        <v>213</v>
      </c>
      <c r="B308" t="s">
        <v>207</v>
      </c>
      <c r="C308" t="s">
        <v>214</v>
      </c>
      <c r="D308" t="s">
        <v>178</v>
      </c>
      <c r="E308" t="s">
        <v>1136</v>
      </c>
      <c r="F308" t="s">
        <v>1137</v>
      </c>
      <c r="L308" s="33"/>
      <c r="M308" s="34"/>
      <c r="N308">
        <f t="shared" si="4"/>
        <v>299</v>
      </c>
    </row>
    <row r="309" spans="1:14">
      <c r="A309"/>
      <c r="B309"/>
      <c r="C309"/>
      <c r="D309"/>
      <c r="F309"/>
      <c r="L309" s="33"/>
      <c r="M309" s="34"/>
      <c r="N309" t="str">
        <f t="shared" si="4"/>
        <v/>
      </c>
    </row>
    <row r="310" spans="1:14">
      <c r="A310" t="s">
        <v>215</v>
      </c>
      <c r="B310" t="s">
        <v>207</v>
      </c>
      <c r="C310" t="s">
        <v>216</v>
      </c>
      <c r="D310" t="s">
        <v>178</v>
      </c>
      <c r="E310" t="s">
        <v>1138</v>
      </c>
      <c r="F310" t="s">
        <v>1139</v>
      </c>
      <c r="G310" t="s">
        <v>1140</v>
      </c>
      <c r="L310" s="33"/>
      <c r="M310" s="34"/>
      <c r="N310">
        <f t="shared" si="4"/>
        <v>300</v>
      </c>
    </row>
    <row r="311" spans="1:14">
      <c r="A311" t="s">
        <v>215</v>
      </c>
      <c r="B311" t="s">
        <v>207</v>
      </c>
      <c r="C311" t="s">
        <v>216</v>
      </c>
      <c r="D311" t="s">
        <v>178</v>
      </c>
      <c r="E311" t="s">
        <v>1141</v>
      </c>
      <c r="F311" t="s">
        <v>1139</v>
      </c>
      <c r="G311" t="s">
        <v>1142</v>
      </c>
      <c r="L311" s="33"/>
      <c r="M311" s="34"/>
      <c r="N311">
        <f t="shared" si="4"/>
        <v>301</v>
      </c>
    </row>
    <row r="312" spans="1:14">
      <c r="A312" t="s">
        <v>215</v>
      </c>
      <c r="B312" t="s">
        <v>207</v>
      </c>
      <c r="C312" t="s">
        <v>216</v>
      </c>
      <c r="D312" t="s">
        <v>178</v>
      </c>
      <c r="E312" t="s">
        <v>1143</v>
      </c>
      <c r="F312" t="s">
        <v>1139</v>
      </c>
      <c r="G312" t="s">
        <v>982</v>
      </c>
      <c r="L312" s="33"/>
      <c r="M312" s="34"/>
      <c r="N312">
        <f t="shared" si="4"/>
        <v>302</v>
      </c>
    </row>
    <row r="313" spans="1:14">
      <c r="A313" t="s">
        <v>215</v>
      </c>
      <c r="B313" t="s">
        <v>207</v>
      </c>
      <c r="C313" t="s">
        <v>216</v>
      </c>
      <c r="D313" t="s">
        <v>178</v>
      </c>
      <c r="E313" t="s">
        <v>1144</v>
      </c>
      <c r="F313" t="s">
        <v>1139</v>
      </c>
      <c r="G313" t="s">
        <v>1145</v>
      </c>
      <c r="L313" s="33"/>
      <c r="M313" s="34"/>
      <c r="N313">
        <f t="shared" si="4"/>
        <v>303</v>
      </c>
    </row>
    <row r="314" spans="1:14">
      <c r="A314" t="s">
        <v>215</v>
      </c>
      <c r="B314" t="s">
        <v>207</v>
      </c>
      <c r="C314" t="s">
        <v>216</v>
      </c>
      <c r="D314" t="s">
        <v>178</v>
      </c>
      <c r="E314" t="s">
        <v>1146</v>
      </c>
      <c r="F314" t="s">
        <v>1147</v>
      </c>
      <c r="G314"/>
      <c r="H314"/>
      <c r="I314"/>
      <c r="L314" s="33"/>
      <c r="M314" s="34"/>
      <c r="N314">
        <f t="shared" si="4"/>
        <v>304</v>
      </c>
    </row>
    <row r="315" spans="1:14">
      <c r="A315" t="s">
        <v>215</v>
      </c>
      <c r="B315" t="s">
        <v>207</v>
      </c>
      <c r="C315" t="s">
        <v>216</v>
      </c>
      <c r="D315" t="s">
        <v>178</v>
      </c>
      <c r="E315" t="s">
        <v>1148</v>
      </c>
      <c r="F315" t="s">
        <v>1010</v>
      </c>
      <c r="G315" t="s">
        <v>1050</v>
      </c>
      <c r="L315" s="33"/>
      <c r="M315" s="34"/>
      <c r="N315">
        <f t="shared" si="4"/>
        <v>305</v>
      </c>
    </row>
    <row r="316" spans="1:14">
      <c r="A316" t="s">
        <v>215</v>
      </c>
      <c r="B316" t="s">
        <v>207</v>
      </c>
      <c r="C316" t="s">
        <v>216</v>
      </c>
      <c r="D316" t="s">
        <v>178</v>
      </c>
      <c r="E316" t="s">
        <v>1149</v>
      </c>
      <c r="F316" t="s">
        <v>1150</v>
      </c>
      <c r="G316" t="s">
        <v>1151</v>
      </c>
      <c r="L316" s="33"/>
      <c r="M316" s="34"/>
      <c r="N316">
        <f t="shared" si="4"/>
        <v>306</v>
      </c>
    </row>
    <row r="317" spans="1:14">
      <c r="A317" t="s">
        <v>215</v>
      </c>
      <c r="B317" t="s">
        <v>207</v>
      </c>
      <c r="C317" t="s">
        <v>216</v>
      </c>
      <c r="D317" t="s">
        <v>178</v>
      </c>
      <c r="E317" t="s">
        <v>1152</v>
      </c>
      <c r="F317" t="s">
        <v>1153</v>
      </c>
      <c r="G317"/>
      <c r="H317"/>
      <c r="I317"/>
      <c r="L317" s="33"/>
      <c r="M317" s="34"/>
      <c r="N317">
        <f t="shared" si="4"/>
        <v>307</v>
      </c>
    </row>
    <row r="318" spans="1:14">
      <c r="A318" t="s">
        <v>215</v>
      </c>
      <c r="B318" t="s">
        <v>207</v>
      </c>
      <c r="C318" t="s">
        <v>216</v>
      </c>
      <c r="D318" t="s">
        <v>178</v>
      </c>
      <c r="E318" t="s">
        <v>1154</v>
      </c>
      <c r="F318" t="s">
        <v>1155</v>
      </c>
      <c r="G318" t="s">
        <v>461</v>
      </c>
      <c r="L318" s="33"/>
      <c r="M318" s="34"/>
      <c r="N318">
        <f t="shared" si="4"/>
        <v>308</v>
      </c>
    </row>
    <row r="319" spans="1:14">
      <c r="A319" t="s">
        <v>215</v>
      </c>
      <c r="B319" t="s">
        <v>207</v>
      </c>
      <c r="C319" t="s">
        <v>216</v>
      </c>
      <c r="D319" t="s">
        <v>178</v>
      </c>
      <c r="E319" t="s">
        <v>1156</v>
      </c>
      <c r="F319" t="s">
        <v>1157</v>
      </c>
      <c r="G319" t="s">
        <v>1081</v>
      </c>
      <c r="L319" s="33"/>
      <c r="M319" s="34"/>
      <c r="N319">
        <f t="shared" si="4"/>
        <v>309</v>
      </c>
    </row>
    <row r="320" spans="1:14">
      <c r="A320" t="s">
        <v>215</v>
      </c>
      <c r="B320" t="s">
        <v>207</v>
      </c>
      <c r="C320" t="s">
        <v>216</v>
      </c>
      <c r="D320" t="s">
        <v>178</v>
      </c>
      <c r="E320" t="s">
        <v>1158</v>
      </c>
      <c r="F320" t="s">
        <v>1159</v>
      </c>
      <c r="G320" t="s">
        <v>1081</v>
      </c>
      <c r="L320" s="33"/>
      <c r="M320" s="34"/>
      <c r="N320">
        <f t="shared" si="4"/>
        <v>310</v>
      </c>
    </row>
    <row r="321" spans="1:14">
      <c r="A321" t="s">
        <v>215</v>
      </c>
      <c r="B321" t="s">
        <v>207</v>
      </c>
      <c r="C321" t="s">
        <v>216</v>
      </c>
      <c r="D321" t="s">
        <v>178</v>
      </c>
      <c r="E321" t="s">
        <v>1160</v>
      </c>
      <c r="F321" t="s">
        <v>1161</v>
      </c>
      <c r="G321" t="s">
        <v>1162</v>
      </c>
      <c r="L321" s="33"/>
      <c r="M321" s="34"/>
      <c r="N321">
        <f t="shared" si="4"/>
        <v>311</v>
      </c>
    </row>
    <row r="322" spans="1:14">
      <c r="A322" t="s">
        <v>215</v>
      </c>
      <c r="B322" t="s">
        <v>207</v>
      </c>
      <c r="C322" t="s">
        <v>216</v>
      </c>
      <c r="D322" t="s">
        <v>178</v>
      </c>
      <c r="E322" t="s">
        <v>1163</v>
      </c>
      <c r="F322" t="s">
        <v>1036</v>
      </c>
      <c r="G322" t="s">
        <v>1162</v>
      </c>
      <c r="L322" s="33"/>
      <c r="M322" s="34"/>
      <c r="N322">
        <f t="shared" ref="N322:N385" si="5">IFERROR(VALUE(MID(E322,3,5)),"")</f>
        <v>312</v>
      </c>
    </row>
    <row r="323" spans="1:14">
      <c r="A323" t="s">
        <v>215</v>
      </c>
      <c r="B323" t="s">
        <v>207</v>
      </c>
      <c r="C323" t="s">
        <v>216</v>
      </c>
      <c r="D323" t="s">
        <v>178</v>
      </c>
      <c r="E323" t="s">
        <v>1164</v>
      </c>
      <c r="F323" t="s">
        <v>1165</v>
      </c>
      <c r="G323" t="s">
        <v>1166</v>
      </c>
      <c r="L323" s="33"/>
      <c r="M323" s="34"/>
      <c r="N323">
        <f t="shared" si="5"/>
        <v>313</v>
      </c>
    </row>
    <row r="324" spans="1:14">
      <c r="A324" t="s">
        <v>215</v>
      </c>
      <c r="B324" t="s">
        <v>207</v>
      </c>
      <c r="C324" t="s">
        <v>216</v>
      </c>
      <c r="D324" t="s">
        <v>178</v>
      </c>
      <c r="E324" t="s">
        <v>1167</v>
      </c>
      <c r="F324" t="s">
        <v>1168</v>
      </c>
      <c r="L324" s="33"/>
      <c r="M324" s="34"/>
      <c r="N324">
        <f t="shared" si="5"/>
        <v>314</v>
      </c>
    </row>
    <row r="325" spans="1:14">
      <c r="A325" t="s">
        <v>215</v>
      </c>
      <c r="B325" t="s">
        <v>207</v>
      </c>
      <c r="C325" t="s">
        <v>216</v>
      </c>
      <c r="D325" t="s">
        <v>178</v>
      </c>
      <c r="E325" t="s">
        <v>1169</v>
      </c>
      <c r="F325" t="s">
        <v>1170</v>
      </c>
      <c r="G325" t="s">
        <v>1171</v>
      </c>
      <c r="L325" s="33"/>
      <c r="M325" s="34"/>
      <c r="N325">
        <f t="shared" si="5"/>
        <v>315</v>
      </c>
    </row>
    <row r="326" spans="1:14">
      <c r="A326"/>
      <c r="B326"/>
      <c r="C326"/>
      <c r="D326"/>
      <c r="F326"/>
      <c r="L326" s="33"/>
      <c r="M326" s="34"/>
      <c r="N326" t="str">
        <f t="shared" si="5"/>
        <v/>
      </c>
    </row>
    <row r="327" spans="1:14">
      <c r="A327" t="s">
        <v>271</v>
      </c>
      <c r="B327" t="s">
        <v>207</v>
      </c>
      <c r="C327" t="s">
        <v>272</v>
      </c>
      <c r="D327" t="s">
        <v>178</v>
      </c>
      <c r="E327" t="s">
        <v>1172</v>
      </c>
      <c r="F327" t="s">
        <v>1173</v>
      </c>
      <c r="G327"/>
      <c r="H327"/>
      <c r="I327"/>
      <c r="L327" s="33"/>
      <c r="M327" s="34"/>
      <c r="N327">
        <f t="shared" si="5"/>
        <v>316</v>
      </c>
    </row>
    <row r="328" spans="1:14">
      <c r="A328" t="s">
        <v>271</v>
      </c>
      <c r="B328" t="s">
        <v>207</v>
      </c>
      <c r="C328" t="s">
        <v>272</v>
      </c>
      <c r="D328" t="s">
        <v>178</v>
      </c>
      <c r="E328" t="s">
        <v>1174</v>
      </c>
      <c r="F328" t="s">
        <v>1175</v>
      </c>
      <c r="G328"/>
      <c r="H328"/>
      <c r="I328"/>
      <c r="L328" s="33"/>
      <c r="M328" s="34"/>
      <c r="N328">
        <f t="shared" si="5"/>
        <v>317</v>
      </c>
    </row>
    <row r="329" spans="1:14">
      <c r="A329" t="s">
        <v>271</v>
      </c>
      <c r="B329" t="s">
        <v>207</v>
      </c>
      <c r="C329" t="s">
        <v>272</v>
      </c>
      <c r="D329" t="s">
        <v>178</v>
      </c>
      <c r="E329" t="s">
        <v>1176</v>
      </c>
      <c r="F329" t="s">
        <v>1177</v>
      </c>
      <c r="G329"/>
      <c r="H329"/>
      <c r="I329"/>
      <c r="L329" s="33"/>
      <c r="M329" s="34"/>
      <c r="N329">
        <f t="shared" si="5"/>
        <v>318</v>
      </c>
    </row>
    <row r="330" spans="1:14">
      <c r="A330" t="s">
        <v>271</v>
      </c>
      <c r="B330" t="s">
        <v>207</v>
      </c>
      <c r="C330" t="s">
        <v>272</v>
      </c>
      <c r="D330" t="s">
        <v>178</v>
      </c>
      <c r="E330" t="s">
        <v>1178</v>
      </c>
      <c r="F330" t="s">
        <v>1179</v>
      </c>
      <c r="G330"/>
      <c r="H330"/>
      <c r="I330"/>
      <c r="L330" s="33"/>
      <c r="M330" s="34"/>
      <c r="N330">
        <f t="shared" si="5"/>
        <v>319</v>
      </c>
    </row>
    <row r="331" spans="1:14">
      <c r="A331" t="s">
        <v>271</v>
      </c>
      <c r="B331" t="s">
        <v>207</v>
      </c>
      <c r="C331" t="s">
        <v>272</v>
      </c>
      <c r="D331" t="s">
        <v>178</v>
      </c>
      <c r="E331" t="s">
        <v>1180</v>
      </c>
      <c r="F331" t="s">
        <v>1181</v>
      </c>
      <c r="G331"/>
      <c r="H331"/>
      <c r="I331"/>
      <c r="L331" s="33"/>
      <c r="M331" s="34"/>
      <c r="N331">
        <f t="shared" si="5"/>
        <v>320</v>
      </c>
    </row>
    <row r="332" spans="1:14">
      <c r="A332" t="s">
        <v>271</v>
      </c>
      <c r="B332" t="s">
        <v>207</v>
      </c>
      <c r="C332" t="s">
        <v>272</v>
      </c>
      <c r="D332" t="s">
        <v>178</v>
      </c>
      <c r="E332" t="s">
        <v>1182</v>
      </c>
      <c r="F332" t="s">
        <v>1183</v>
      </c>
      <c r="G332"/>
      <c r="H332"/>
      <c r="I332"/>
      <c r="L332" s="33"/>
      <c r="M332" s="34"/>
      <c r="N332">
        <f t="shared" si="5"/>
        <v>321</v>
      </c>
    </row>
    <row r="333" spans="1:14">
      <c r="A333" t="s">
        <v>271</v>
      </c>
      <c r="B333" t="s">
        <v>207</v>
      </c>
      <c r="C333" t="s">
        <v>272</v>
      </c>
      <c r="D333" t="s">
        <v>178</v>
      </c>
      <c r="E333" t="s">
        <v>1184</v>
      </c>
      <c r="F333" t="s">
        <v>1185</v>
      </c>
      <c r="L333" s="33"/>
      <c r="M333" s="34"/>
      <c r="N333">
        <f t="shared" si="5"/>
        <v>322</v>
      </c>
    </row>
    <row r="334" spans="1:14">
      <c r="A334" t="s">
        <v>271</v>
      </c>
      <c r="B334" t="s">
        <v>207</v>
      </c>
      <c r="C334" t="s">
        <v>272</v>
      </c>
      <c r="D334" t="s">
        <v>178</v>
      </c>
      <c r="E334" t="s">
        <v>1186</v>
      </c>
      <c r="F334" t="s">
        <v>1187</v>
      </c>
      <c r="G334"/>
      <c r="H334"/>
      <c r="I334"/>
      <c r="L334" s="33"/>
      <c r="M334" s="34"/>
      <c r="N334">
        <f t="shared" si="5"/>
        <v>323</v>
      </c>
    </row>
    <row r="335" spans="1:14">
      <c r="A335" t="s">
        <v>271</v>
      </c>
      <c r="B335" t="s">
        <v>207</v>
      </c>
      <c r="C335" t="s">
        <v>272</v>
      </c>
      <c r="D335" t="s">
        <v>178</v>
      </c>
      <c r="E335" t="s">
        <v>1188</v>
      </c>
      <c r="F335" t="s">
        <v>1189</v>
      </c>
      <c r="G335"/>
      <c r="H335"/>
      <c r="I335"/>
      <c r="L335" s="33"/>
      <c r="M335" s="34"/>
      <c r="N335">
        <f t="shared" si="5"/>
        <v>324</v>
      </c>
    </row>
    <row r="336" spans="1:14">
      <c r="A336" t="s">
        <v>271</v>
      </c>
      <c r="B336" t="s">
        <v>207</v>
      </c>
      <c r="C336" t="s">
        <v>272</v>
      </c>
      <c r="D336" t="s">
        <v>178</v>
      </c>
      <c r="E336" t="s">
        <v>1190</v>
      </c>
      <c r="F336" t="s">
        <v>1191</v>
      </c>
      <c r="G336"/>
      <c r="H336"/>
      <c r="I336"/>
      <c r="L336" s="33"/>
      <c r="M336" s="34"/>
      <c r="N336">
        <f t="shared" si="5"/>
        <v>325</v>
      </c>
    </row>
    <row r="337" spans="1:14">
      <c r="A337" t="s">
        <v>271</v>
      </c>
      <c r="B337" t="s">
        <v>207</v>
      </c>
      <c r="C337" t="s">
        <v>272</v>
      </c>
      <c r="D337" t="s">
        <v>178</v>
      </c>
      <c r="E337" t="s">
        <v>1192</v>
      </c>
      <c r="F337" t="s">
        <v>1193</v>
      </c>
      <c r="G337"/>
      <c r="H337"/>
      <c r="I337"/>
      <c r="L337" s="33"/>
      <c r="M337" s="34"/>
      <c r="N337">
        <f t="shared" si="5"/>
        <v>326</v>
      </c>
    </row>
    <row r="338" spans="1:14">
      <c r="A338" t="s">
        <v>271</v>
      </c>
      <c r="B338" t="s">
        <v>207</v>
      </c>
      <c r="C338" t="s">
        <v>272</v>
      </c>
      <c r="D338" t="s">
        <v>178</v>
      </c>
      <c r="E338" t="s">
        <v>1194</v>
      </c>
      <c r="F338" t="s">
        <v>1195</v>
      </c>
      <c r="G338"/>
      <c r="H338"/>
      <c r="I338"/>
      <c r="L338" s="33"/>
      <c r="M338" s="34"/>
      <c r="N338">
        <f t="shared" si="5"/>
        <v>327</v>
      </c>
    </row>
    <row r="339" spans="1:14">
      <c r="A339" t="s">
        <v>271</v>
      </c>
      <c r="B339" t="s">
        <v>207</v>
      </c>
      <c r="C339" t="s">
        <v>272</v>
      </c>
      <c r="D339" t="s">
        <v>178</v>
      </c>
      <c r="E339" t="s">
        <v>1196</v>
      </c>
      <c r="F339" t="s">
        <v>1197</v>
      </c>
      <c r="G339"/>
      <c r="H339"/>
      <c r="I339"/>
      <c r="L339" s="33"/>
      <c r="M339" s="34"/>
      <c r="N339">
        <f t="shared" si="5"/>
        <v>328</v>
      </c>
    </row>
    <row r="340" spans="1:14">
      <c r="A340" t="s">
        <v>271</v>
      </c>
      <c r="B340" t="s">
        <v>207</v>
      </c>
      <c r="C340" t="s">
        <v>272</v>
      </c>
      <c r="D340" t="s">
        <v>178</v>
      </c>
      <c r="E340" t="s">
        <v>1198</v>
      </c>
      <c r="F340" t="s">
        <v>1199</v>
      </c>
      <c r="G340"/>
      <c r="H340"/>
      <c r="I340"/>
      <c r="L340" s="33"/>
      <c r="M340" s="34"/>
      <c r="N340">
        <f t="shared" si="5"/>
        <v>329</v>
      </c>
    </row>
    <row r="341" spans="1:14">
      <c r="L341" s="33"/>
      <c r="M341" s="34"/>
      <c r="N341" t="str">
        <f t="shared" si="5"/>
        <v/>
      </c>
    </row>
    <row r="342" spans="1:14">
      <c r="A342" t="s">
        <v>338</v>
      </c>
      <c r="B342" t="s">
        <v>53</v>
      </c>
      <c r="C342" t="s">
        <v>339</v>
      </c>
      <c r="D342" t="s">
        <v>178</v>
      </c>
      <c r="E342" t="s">
        <v>1200</v>
      </c>
      <c r="F342" t="s">
        <v>1201</v>
      </c>
      <c r="G342" t="s">
        <v>1202</v>
      </c>
      <c r="L342" s="33"/>
      <c r="M342" s="34"/>
      <c r="N342">
        <f t="shared" si="5"/>
        <v>330</v>
      </c>
    </row>
    <row r="343" spans="1:14">
      <c r="A343" t="s">
        <v>338</v>
      </c>
      <c r="B343" t="s">
        <v>53</v>
      </c>
      <c r="C343" t="s">
        <v>339</v>
      </c>
      <c r="D343" t="s">
        <v>178</v>
      </c>
      <c r="E343" t="s">
        <v>1203</v>
      </c>
      <c r="F343" t="s">
        <v>1204</v>
      </c>
      <c r="G343"/>
      <c r="H343"/>
      <c r="I343"/>
      <c r="L343" s="33"/>
      <c r="M343" s="34"/>
      <c r="N343">
        <f t="shared" si="5"/>
        <v>331</v>
      </c>
    </row>
    <row r="344" spans="1:14">
      <c r="A344" t="s">
        <v>338</v>
      </c>
      <c r="B344" t="s">
        <v>53</v>
      </c>
      <c r="C344" t="s">
        <v>339</v>
      </c>
      <c r="D344" t="s">
        <v>178</v>
      </c>
      <c r="E344" t="s">
        <v>1205</v>
      </c>
      <c r="F344" t="s">
        <v>1206</v>
      </c>
      <c r="G344" t="s">
        <v>1207</v>
      </c>
      <c r="L344" s="33"/>
      <c r="M344" s="34"/>
      <c r="N344">
        <f t="shared" si="5"/>
        <v>332</v>
      </c>
    </row>
    <row r="345" spans="1:14">
      <c r="A345" t="s">
        <v>338</v>
      </c>
      <c r="B345" t="s">
        <v>53</v>
      </c>
      <c r="C345" t="s">
        <v>339</v>
      </c>
      <c r="D345" t="s">
        <v>178</v>
      </c>
      <c r="E345" t="s">
        <v>1208</v>
      </c>
      <c r="F345" t="s">
        <v>1209</v>
      </c>
      <c r="L345" s="33"/>
      <c r="M345" s="34"/>
      <c r="N345">
        <f t="shared" si="5"/>
        <v>333</v>
      </c>
    </row>
    <row r="346" spans="1:14">
      <c r="A346" t="s">
        <v>338</v>
      </c>
      <c r="B346" t="s">
        <v>53</v>
      </c>
      <c r="C346" t="s">
        <v>339</v>
      </c>
      <c r="D346" t="s">
        <v>178</v>
      </c>
      <c r="E346" t="s">
        <v>1210</v>
      </c>
      <c r="F346" t="s">
        <v>1211</v>
      </c>
      <c r="G346" t="s">
        <v>1212</v>
      </c>
      <c r="L346" s="33"/>
      <c r="M346" s="34"/>
      <c r="N346">
        <f t="shared" si="5"/>
        <v>334</v>
      </c>
    </row>
    <row r="347" spans="1:14">
      <c r="A347" t="s">
        <v>262</v>
      </c>
      <c r="B347" t="s">
        <v>207</v>
      </c>
      <c r="C347" t="s">
        <v>263</v>
      </c>
      <c r="D347" t="s">
        <v>1213</v>
      </c>
      <c r="E347" t="s">
        <v>1214</v>
      </c>
      <c r="F347" t="s">
        <v>1215</v>
      </c>
      <c r="G347" t="s">
        <v>1213</v>
      </c>
      <c r="H347" t="s">
        <v>29</v>
      </c>
      <c r="I347"/>
      <c r="J347" t="s">
        <v>29</v>
      </c>
      <c r="L347" s="33"/>
      <c r="M347" s="34"/>
      <c r="N347">
        <f t="shared" si="5"/>
        <v>335</v>
      </c>
    </row>
    <row r="348" spans="1:14">
      <c r="A348" t="s">
        <v>262</v>
      </c>
      <c r="B348" t="s">
        <v>207</v>
      </c>
      <c r="C348" t="s">
        <v>263</v>
      </c>
      <c r="D348" t="s">
        <v>1213</v>
      </c>
      <c r="E348" t="s">
        <v>1216</v>
      </c>
      <c r="F348" t="s">
        <v>1217</v>
      </c>
      <c r="G348" t="s">
        <v>1213</v>
      </c>
      <c r="H348" t="s">
        <v>29</v>
      </c>
      <c r="I348"/>
      <c r="L348" s="33"/>
      <c r="M348" s="34"/>
      <c r="N348">
        <f t="shared" si="5"/>
        <v>336</v>
      </c>
    </row>
    <row r="349" spans="1:14">
      <c r="L349" s="33"/>
      <c r="M349" s="34"/>
      <c r="N349" t="str">
        <f t="shared" si="5"/>
        <v/>
      </c>
    </row>
    <row r="350" spans="1:14">
      <c r="L350" s="33"/>
      <c r="M350" s="34"/>
      <c r="N350" t="str">
        <f t="shared" si="5"/>
        <v/>
      </c>
    </row>
    <row r="351" spans="1:14">
      <c r="A351" s="27" t="s">
        <v>341</v>
      </c>
      <c r="B351" s="27" t="s">
        <v>53</v>
      </c>
      <c r="C351" s="27" t="s">
        <v>342</v>
      </c>
      <c r="D351" s="27" t="s">
        <v>156</v>
      </c>
      <c r="E351" t="s">
        <v>1218</v>
      </c>
      <c r="F351" s="27" t="s">
        <v>1219</v>
      </c>
      <c r="G351" s="27" t="s">
        <v>156</v>
      </c>
      <c r="H351" s="27" t="s">
        <v>29</v>
      </c>
      <c r="L351" s="33"/>
      <c r="M351" s="34"/>
      <c r="N351">
        <f t="shared" si="5"/>
        <v>337</v>
      </c>
    </row>
    <row r="352" spans="1:14">
      <c r="A352" s="27" t="s">
        <v>341</v>
      </c>
      <c r="B352" s="27" t="s">
        <v>53</v>
      </c>
      <c r="C352" s="27" t="s">
        <v>342</v>
      </c>
      <c r="D352" s="27" t="s">
        <v>156</v>
      </c>
      <c r="E352" t="s">
        <v>1220</v>
      </c>
      <c r="F352" s="27" t="s">
        <v>1221</v>
      </c>
      <c r="G352" s="27" t="s">
        <v>156</v>
      </c>
      <c r="H352" s="27" t="s">
        <v>29</v>
      </c>
      <c r="L352" s="33"/>
      <c r="M352" s="34"/>
      <c r="N352">
        <f t="shared" si="5"/>
        <v>338</v>
      </c>
    </row>
    <row r="353" spans="1:14">
      <c r="A353" s="27" t="s">
        <v>341</v>
      </c>
      <c r="B353" s="27" t="s">
        <v>53</v>
      </c>
      <c r="C353" s="27" t="s">
        <v>342</v>
      </c>
      <c r="D353" s="27" t="s">
        <v>156</v>
      </c>
      <c r="E353" t="s">
        <v>1222</v>
      </c>
      <c r="F353" s="27" t="s">
        <v>1223</v>
      </c>
      <c r="G353" s="27" t="s">
        <v>156</v>
      </c>
      <c r="H353" s="27" t="s">
        <v>29</v>
      </c>
      <c r="L353" s="33"/>
      <c r="M353" s="34"/>
      <c r="N353">
        <f t="shared" si="5"/>
        <v>339</v>
      </c>
    </row>
    <row r="354" spans="1:14">
      <c r="A354" s="27" t="s">
        <v>341</v>
      </c>
      <c r="B354" s="27" t="s">
        <v>53</v>
      </c>
      <c r="C354" s="27" t="s">
        <v>342</v>
      </c>
      <c r="D354" s="27" t="s">
        <v>156</v>
      </c>
      <c r="E354" t="s">
        <v>1224</v>
      </c>
      <c r="F354" s="27" t="s">
        <v>1225</v>
      </c>
      <c r="G354" s="27" t="s">
        <v>156</v>
      </c>
      <c r="H354" s="27" t="s">
        <v>29</v>
      </c>
      <c r="L354" s="33"/>
      <c r="M354" s="34"/>
      <c r="N354">
        <f t="shared" si="5"/>
        <v>340</v>
      </c>
    </row>
    <row r="355" spans="1:14">
      <c r="A355" s="27" t="s">
        <v>341</v>
      </c>
      <c r="B355" s="27" t="s">
        <v>53</v>
      </c>
      <c r="C355" s="27" t="s">
        <v>342</v>
      </c>
      <c r="D355" s="27" t="s">
        <v>156</v>
      </c>
      <c r="E355" t="s">
        <v>1226</v>
      </c>
      <c r="F355" s="27" t="s">
        <v>1227</v>
      </c>
      <c r="G355" s="27" t="s">
        <v>156</v>
      </c>
      <c r="H355" s="27" t="s">
        <v>29</v>
      </c>
      <c r="L355" s="33"/>
      <c r="M355" s="34"/>
      <c r="N355">
        <f t="shared" si="5"/>
        <v>341</v>
      </c>
    </row>
    <row r="356" spans="1:14">
      <c r="A356" s="27" t="s">
        <v>341</v>
      </c>
      <c r="B356" s="27" t="s">
        <v>53</v>
      </c>
      <c r="C356" s="27" t="s">
        <v>342</v>
      </c>
      <c r="D356" s="27" t="s">
        <v>156</v>
      </c>
      <c r="E356" t="s">
        <v>1228</v>
      </c>
      <c r="F356" s="27" t="s">
        <v>1229</v>
      </c>
      <c r="G356" s="27" t="s">
        <v>156</v>
      </c>
      <c r="H356" s="27" t="s">
        <v>29</v>
      </c>
      <c r="L356" s="33"/>
      <c r="M356" s="34"/>
      <c r="N356">
        <f t="shared" si="5"/>
        <v>342</v>
      </c>
    </row>
    <row r="357" spans="1:14">
      <c r="A357" s="27" t="s">
        <v>341</v>
      </c>
      <c r="B357" s="27" t="s">
        <v>53</v>
      </c>
      <c r="C357" s="27" t="s">
        <v>342</v>
      </c>
      <c r="D357" s="27" t="s">
        <v>156</v>
      </c>
      <c r="E357" t="s">
        <v>1230</v>
      </c>
      <c r="F357" s="27" t="s">
        <v>1231</v>
      </c>
      <c r="G357" s="27" t="s">
        <v>156</v>
      </c>
      <c r="H357" s="27" t="s">
        <v>29</v>
      </c>
      <c r="L357" s="33"/>
      <c r="M357" s="34"/>
      <c r="N357">
        <f t="shared" si="5"/>
        <v>343</v>
      </c>
    </row>
    <row r="358" spans="1:14">
      <c r="A358" s="27" t="s">
        <v>341</v>
      </c>
      <c r="B358" s="27" t="s">
        <v>53</v>
      </c>
      <c r="C358" s="27" t="s">
        <v>342</v>
      </c>
      <c r="D358" s="27" t="s">
        <v>156</v>
      </c>
      <c r="E358" t="s">
        <v>1232</v>
      </c>
      <c r="F358" s="27" t="s">
        <v>1233</v>
      </c>
      <c r="G358" s="27" t="s">
        <v>156</v>
      </c>
      <c r="H358" s="27" t="s">
        <v>29</v>
      </c>
      <c r="L358" s="33"/>
      <c r="M358" s="34"/>
      <c r="N358">
        <f t="shared" si="5"/>
        <v>344</v>
      </c>
    </row>
    <row r="359" spans="1:14">
      <c r="A359" s="27" t="s">
        <v>341</v>
      </c>
      <c r="B359" s="27" t="s">
        <v>53</v>
      </c>
      <c r="C359" s="27" t="s">
        <v>342</v>
      </c>
      <c r="D359" s="27" t="s">
        <v>156</v>
      </c>
      <c r="E359" t="s">
        <v>1234</v>
      </c>
      <c r="F359" s="27" t="s">
        <v>1235</v>
      </c>
      <c r="G359" s="27" t="s">
        <v>156</v>
      </c>
      <c r="H359" s="27" t="s">
        <v>29</v>
      </c>
      <c r="L359" s="33"/>
      <c r="M359" s="34"/>
      <c r="N359">
        <f t="shared" si="5"/>
        <v>345</v>
      </c>
    </row>
    <row r="360" spans="1:14">
      <c r="A360" s="27" t="s">
        <v>341</v>
      </c>
      <c r="B360" s="27" t="s">
        <v>53</v>
      </c>
      <c r="C360" s="27" t="s">
        <v>342</v>
      </c>
      <c r="D360" s="27" t="s">
        <v>156</v>
      </c>
      <c r="E360" t="s">
        <v>1236</v>
      </c>
      <c r="F360" s="27" t="s">
        <v>1237</v>
      </c>
      <c r="G360" s="27" t="s">
        <v>156</v>
      </c>
      <c r="H360" s="27" t="s">
        <v>29</v>
      </c>
      <c r="L360" s="33"/>
      <c r="M360" s="34"/>
      <c r="N360">
        <f t="shared" si="5"/>
        <v>346</v>
      </c>
    </row>
    <row r="361" spans="1:14">
      <c r="A361" s="27" t="s">
        <v>341</v>
      </c>
      <c r="B361" s="27" t="s">
        <v>53</v>
      </c>
      <c r="C361" s="27" t="s">
        <v>342</v>
      </c>
      <c r="D361" s="27" t="s">
        <v>156</v>
      </c>
      <c r="E361" t="s">
        <v>1238</v>
      </c>
      <c r="F361" s="27" t="s">
        <v>1239</v>
      </c>
      <c r="G361" s="27" t="s">
        <v>156</v>
      </c>
      <c r="H361" s="27" t="s">
        <v>29</v>
      </c>
      <c r="L361" s="33"/>
      <c r="M361" s="34"/>
      <c r="N361">
        <f t="shared" si="5"/>
        <v>347</v>
      </c>
    </row>
    <row r="362" spans="1:14">
      <c r="A362" s="27" t="s">
        <v>341</v>
      </c>
      <c r="B362" s="27" t="s">
        <v>53</v>
      </c>
      <c r="C362" s="27" t="s">
        <v>342</v>
      </c>
      <c r="D362" s="27" t="s">
        <v>156</v>
      </c>
      <c r="E362" t="s">
        <v>1240</v>
      </c>
      <c r="F362" s="27" t="s">
        <v>1241</v>
      </c>
      <c r="G362" s="27" t="s">
        <v>156</v>
      </c>
      <c r="H362" s="27" t="s">
        <v>29</v>
      </c>
      <c r="L362" s="33"/>
      <c r="M362" s="34"/>
      <c r="N362">
        <f t="shared" si="5"/>
        <v>348</v>
      </c>
    </row>
    <row r="363" spans="1:14">
      <c r="A363" s="27" t="s">
        <v>341</v>
      </c>
      <c r="B363" s="27" t="s">
        <v>53</v>
      </c>
      <c r="C363" s="27" t="s">
        <v>342</v>
      </c>
      <c r="D363" s="27" t="s">
        <v>156</v>
      </c>
      <c r="E363" t="s">
        <v>1242</v>
      </c>
      <c r="F363" s="27" t="s">
        <v>1243</v>
      </c>
      <c r="G363" s="27" t="s">
        <v>156</v>
      </c>
      <c r="H363" s="27" t="s">
        <v>29</v>
      </c>
      <c r="L363" s="33"/>
      <c r="M363" s="34"/>
      <c r="N363">
        <f t="shared" si="5"/>
        <v>349</v>
      </c>
    </row>
    <row r="364" spans="1:14">
      <c r="A364" s="27" t="s">
        <v>341</v>
      </c>
      <c r="B364" s="27" t="s">
        <v>53</v>
      </c>
      <c r="C364" s="27" t="s">
        <v>342</v>
      </c>
      <c r="D364" s="27" t="s">
        <v>156</v>
      </c>
      <c r="E364" t="s">
        <v>1244</v>
      </c>
      <c r="F364" s="27" t="s">
        <v>1245</v>
      </c>
      <c r="G364" s="27" t="s">
        <v>156</v>
      </c>
      <c r="H364" s="27" t="s">
        <v>29</v>
      </c>
      <c r="L364" s="33"/>
      <c r="M364" s="34"/>
      <c r="N364">
        <f t="shared" si="5"/>
        <v>350</v>
      </c>
    </row>
    <row r="365" spans="1:14">
      <c r="A365" s="27" t="s">
        <v>341</v>
      </c>
      <c r="B365" s="27" t="s">
        <v>53</v>
      </c>
      <c r="C365" s="27" t="s">
        <v>342</v>
      </c>
      <c r="D365" s="27" t="s">
        <v>156</v>
      </c>
      <c r="E365" t="s">
        <v>1246</v>
      </c>
      <c r="F365" s="27" t="s">
        <v>1247</v>
      </c>
      <c r="G365" s="27" t="s">
        <v>156</v>
      </c>
      <c r="H365" s="27" t="s">
        <v>29</v>
      </c>
      <c r="L365" s="33"/>
      <c r="M365" s="34"/>
      <c r="N365">
        <f t="shared" si="5"/>
        <v>351</v>
      </c>
    </row>
    <row r="366" spans="1:14">
      <c r="A366" s="27" t="s">
        <v>341</v>
      </c>
      <c r="B366" s="27" t="s">
        <v>53</v>
      </c>
      <c r="C366" s="27" t="s">
        <v>342</v>
      </c>
      <c r="D366" s="27" t="s">
        <v>156</v>
      </c>
      <c r="E366" t="s">
        <v>1248</v>
      </c>
      <c r="F366" s="27" t="s">
        <v>1249</v>
      </c>
      <c r="G366" s="27" t="s">
        <v>156</v>
      </c>
      <c r="H366" s="27" t="s">
        <v>29</v>
      </c>
      <c r="L366" s="33"/>
      <c r="M366" s="34"/>
      <c r="N366">
        <f t="shared" si="5"/>
        <v>352</v>
      </c>
    </row>
    <row r="367" spans="1:14">
      <c r="A367" s="27" t="s">
        <v>341</v>
      </c>
      <c r="B367" s="27" t="s">
        <v>53</v>
      </c>
      <c r="C367" s="27" t="s">
        <v>342</v>
      </c>
      <c r="D367" s="27" t="s">
        <v>156</v>
      </c>
      <c r="E367" t="s">
        <v>1250</v>
      </c>
      <c r="F367" s="27" t="s">
        <v>1251</v>
      </c>
      <c r="G367" s="27" t="s">
        <v>156</v>
      </c>
      <c r="H367" s="27" t="s">
        <v>29</v>
      </c>
      <c r="L367" s="33"/>
      <c r="M367" s="34"/>
      <c r="N367">
        <f t="shared" si="5"/>
        <v>353</v>
      </c>
    </row>
    <row r="368" spans="1:14">
      <c r="A368" s="27" t="s">
        <v>341</v>
      </c>
      <c r="B368" s="27" t="s">
        <v>53</v>
      </c>
      <c r="C368" s="27" t="s">
        <v>342</v>
      </c>
      <c r="D368" s="27" t="s">
        <v>156</v>
      </c>
      <c r="E368" t="s">
        <v>1252</v>
      </c>
      <c r="F368" s="27" t="s">
        <v>1253</v>
      </c>
      <c r="G368" s="27" t="s">
        <v>156</v>
      </c>
      <c r="H368" s="27" t="s">
        <v>29</v>
      </c>
      <c r="L368" s="33"/>
      <c r="M368" s="34"/>
      <c r="N368">
        <f t="shared" si="5"/>
        <v>354</v>
      </c>
    </row>
    <row r="369" spans="1:14">
      <c r="A369" s="27" t="s">
        <v>341</v>
      </c>
      <c r="B369" s="27" t="s">
        <v>53</v>
      </c>
      <c r="C369" s="27" t="s">
        <v>342</v>
      </c>
      <c r="D369" s="27" t="s">
        <v>156</v>
      </c>
      <c r="E369" t="s">
        <v>1254</v>
      </c>
      <c r="F369" s="27" t="s">
        <v>1255</v>
      </c>
      <c r="G369" s="27" t="s">
        <v>156</v>
      </c>
      <c r="H369" s="27" t="s">
        <v>29</v>
      </c>
      <c r="L369" s="33"/>
      <c r="M369" s="34"/>
      <c r="N369">
        <f t="shared" si="5"/>
        <v>355</v>
      </c>
    </row>
    <row r="370" spans="1:14">
      <c r="A370" s="27" t="s">
        <v>341</v>
      </c>
      <c r="B370" s="27" t="s">
        <v>53</v>
      </c>
      <c r="C370" s="27" t="s">
        <v>342</v>
      </c>
      <c r="D370" s="27" t="s">
        <v>156</v>
      </c>
      <c r="E370" t="s">
        <v>1256</v>
      </c>
      <c r="F370" s="27" t="s">
        <v>1257</v>
      </c>
      <c r="G370" s="27" t="s">
        <v>156</v>
      </c>
      <c r="H370" s="27" t="s">
        <v>29</v>
      </c>
      <c r="L370" s="33"/>
      <c r="M370" s="34"/>
      <c r="N370">
        <f t="shared" si="5"/>
        <v>356</v>
      </c>
    </row>
    <row r="371" spans="1:14">
      <c r="A371" s="27" t="s">
        <v>341</v>
      </c>
      <c r="B371" s="27" t="s">
        <v>53</v>
      </c>
      <c r="C371" s="27" t="s">
        <v>342</v>
      </c>
      <c r="D371" s="27" t="s">
        <v>156</v>
      </c>
      <c r="E371" t="s">
        <v>1258</v>
      </c>
      <c r="F371" s="27" t="s">
        <v>1259</v>
      </c>
      <c r="G371" s="27" t="s">
        <v>156</v>
      </c>
      <c r="H371" s="27" t="s">
        <v>29</v>
      </c>
      <c r="L371" s="33"/>
      <c r="M371" s="34"/>
      <c r="N371">
        <f t="shared" si="5"/>
        <v>357</v>
      </c>
    </row>
    <row r="372" spans="1:14">
      <c r="A372" s="27" t="s">
        <v>341</v>
      </c>
      <c r="B372" s="27" t="s">
        <v>53</v>
      </c>
      <c r="C372" s="27" t="s">
        <v>342</v>
      </c>
      <c r="D372" s="27" t="s">
        <v>156</v>
      </c>
      <c r="E372" t="s">
        <v>1260</v>
      </c>
      <c r="F372" s="27" t="s">
        <v>1261</v>
      </c>
      <c r="G372" s="27" t="s">
        <v>156</v>
      </c>
      <c r="H372" s="27" t="s">
        <v>29</v>
      </c>
      <c r="L372" s="33"/>
      <c r="M372" s="34"/>
      <c r="N372">
        <f t="shared" si="5"/>
        <v>358</v>
      </c>
    </row>
    <row r="373" spans="1:14">
      <c r="L373" s="33"/>
      <c r="M373" s="34"/>
      <c r="N373" t="str">
        <f t="shared" si="5"/>
        <v/>
      </c>
    </row>
    <row r="374" spans="1:14">
      <c r="A374" s="27" t="s">
        <v>343</v>
      </c>
      <c r="B374" s="27" t="s">
        <v>53</v>
      </c>
      <c r="C374" s="27" t="s">
        <v>344</v>
      </c>
      <c r="D374" s="27" t="s">
        <v>156</v>
      </c>
      <c r="E374" t="s">
        <v>1262</v>
      </c>
      <c r="F374" s="27" t="s">
        <v>1263</v>
      </c>
      <c r="G374" s="27" t="s">
        <v>156</v>
      </c>
      <c r="H374" s="27" t="s">
        <v>29</v>
      </c>
      <c r="L374" s="33"/>
      <c r="M374" s="34"/>
      <c r="N374">
        <f t="shared" si="5"/>
        <v>359</v>
      </c>
    </row>
    <row r="375" spans="1:14">
      <c r="A375" s="27" t="s">
        <v>343</v>
      </c>
      <c r="B375" s="27" t="s">
        <v>53</v>
      </c>
      <c r="C375" s="27" t="s">
        <v>344</v>
      </c>
      <c r="D375" s="27" t="s">
        <v>156</v>
      </c>
      <c r="E375" t="s">
        <v>1264</v>
      </c>
      <c r="F375" s="27" t="s">
        <v>1265</v>
      </c>
      <c r="G375" s="27" t="s">
        <v>156</v>
      </c>
      <c r="H375" s="27" t="s">
        <v>29</v>
      </c>
      <c r="L375" s="33"/>
      <c r="M375" s="34"/>
      <c r="N375">
        <f t="shared" si="5"/>
        <v>360</v>
      </c>
    </row>
    <row r="376" spans="1:14">
      <c r="A376" s="27" t="s">
        <v>343</v>
      </c>
      <c r="B376" s="27" t="s">
        <v>53</v>
      </c>
      <c r="C376" s="27" t="s">
        <v>344</v>
      </c>
      <c r="D376" s="27" t="s">
        <v>156</v>
      </c>
      <c r="E376" t="s">
        <v>1266</v>
      </c>
      <c r="F376" s="27" t="s">
        <v>1267</v>
      </c>
      <c r="G376" s="27" t="s">
        <v>156</v>
      </c>
      <c r="H376" s="27" t="s">
        <v>29</v>
      </c>
      <c r="L376" s="33"/>
      <c r="M376" s="34"/>
      <c r="N376">
        <f t="shared" si="5"/>
        <v>361</v>
      </c>
    </row>
    <row r="377" spans="1:14">
      <c r="A377" s="27" t="s">
        <v>343</v>
      </c>
      <c r="B377" s="27" t="s">
        <v>53</v>
      </c>
      <c r="C377" s="27" t="s">
        <v>344</v>
      </c>
      <c r="D377" s="27" t="s">
        <v>156</v>
      </c>
      <c r="E377" t="s">
        <v>1268</v>
      </c>
      <c r="F377" s="27" t="s">
        <v>1269</v>
      </c>
      <c r="G377" s="27" t="s">
        <v>156</v>
      </c>
      <c r="H377" s="27" t="s">
        <v>29</v>
      </c>
      <c r="L377" s="33"/>
      <c r="M377" s="34"/>
      <c r="N377">
        <f t="shared" si="5"/>
        <v>362</v>
      </c>
    </row>
    <row r="378" spans="1:14">
      <c r="A378" s="27" t="s">
        <v>343</v>
      </c>
      <c r="B378" s="27" t="s">
        <v>53</v>
      </c>
      <c r="C378" s="27" t="s">
        <v>344</v>
      </c>
      <c r="D378" s="27" t="s">
        <v>156</v>
      </c>
      <c r="E378" t="s">
        <v>1270</v>
      </c>
      <c r="F378" s="27" t="s">
        <v>1271</v>
      </c>
      <c r="G378" s="27" t="s">
        <v>156</v>
      </c>
      <c r="H378" s="27" t="s">
        <v>29</v>
      </c>
      <c r="L378" s="33"/>
      <c r="M378" s="34"/>
      <c r="N378">
        <f t="shared" si="5"/>
        <v>363</v>
      </c>
    </row>
    <row r="379" spans="1:14">
      <c r="A379" s="27" t="s">
        <v>343</v>
      </c>
      <c r="B379" s="27" t="s">
        <v>53</v>
      </c>
      <c r="C379" s="27" t="s">
        <v>344</v>
      </c>
      <c r="D379" s="27" t="s">
        <v>156</v>
      </c>
      <c r="E379" t="s">
        <v>1272</v>
      </c>
      <c r="F379" s="27" t="s">
        <v>1273</v>
      </c>
      <c r="G379" s="27" t="s">
        <v>156</v>
      </c>
      <c r="H379" s="27" t="s">
        <v>29</v>
      </c>
      <c r="L379" s="33"/>
      <c r="M379" s="34"/>
      <c r="N379">
        <f t="shared" si="5"/>
        <v>364</v>
      </c>
    </row>
    <row r="380" spans="1:14">
      <c r="A380" s="27" t="s">
        <v>343</v>
      </c>
      <c r="B380" s="27" t="s">
        <v>53</v>
      </c>
      <c r="C380" s="27" t="s">
        <v>344</v>
      </c>
      <c r="D380" s="27" t="s">
        <v>156</v>
      </c>
      <c r="E380" t="s">
        <v>1274</v>
      </c>
      <c r="F380" s="27" t="s">
        <v>1275</v>
      </c>
      <c r="G380" s="27" t="s">
        <v>156</v>
      </c>
      <c r="H380" s="27" t="s">
        <v>29</v>
      </c>
      <c r="L380" s="33"/>
      <c r="M380" s="34"/>
      <c r="N380">
        <f t="shared" si="5"/>
        <v>365</v>
      </c>
    </row>
    <row r="381" spans="1:14">
      <c r="A381" s="27" t="s">
        <v>343</v>
      </c>
      <c r="B381" s="27" t="s">
        <v>53</v>
      </c>
      <c r="C381" s="27" t="s">
        <v>344</v>
      </c>
      <c r="D381" s="27" t="s">
        <v>156</v>
      </c>
      <c r="E381" t="s">
        <v>1276</v>
      </c>
      <c r="F381" s="27" t="s">
        <v>1277</v>
      </c>
      <c r="G381" s="27" t="s">
        <v>156</v>
      </c>
      <c r="H381" s="27" t="s">
        <v>29</v>
      </c>
      <c r="L381" s="33"/>
      <c r="M381" s="34"/>
      <c r="N381">
        <f t="shared" si="5"/>
        <v>366</v>
      </c>
    </row>
    <row r="382" spans="1:14">
      <c r="A382" s="27" t="s">
        <v>343</v>
      </c>
      <c r="B382" s="27" t="s">
        <v>53</v>
      </c>
      <c r="C382" s="27" t="s">
        <v>344</v>
      </c>
      <c r="D382" s="27" t="s">
        <v>156</v>
      </c>
      <c r="E382" t="s">
        <v>1278</v>
      </c>
      <c r="F382" s="27" t="s">
        <v>1279</v>
      </c>
      <c r="G382" s="27" t="s">
        <v>156</v>
      </c>
      <c r="H382" s="27" t="s">
        <v>29</v>
      </c>
      <c r="L382" s="33"/>
      <c r="M382" s="34"/>
      <c r="N382">
        <f t="shared" si="5"/>
        <v>367</v>
      </c>
    </row>
    <row r="383" spans="1:14">
      <c r="A383" s="27" t="s">
        <v>343</v>
      </c>
      <c r="B383" s="27" t="s">
        <v>53</v>
      </c>
      <c r="C383" s="27" t="s">
        <v>344</v>
      </c>
      <c r="D383" s="27" t="s">
        <v>156</v>
      </c>
      <c r="E383" t="s">
        <v>1280</v>
      </c>
      <c r="F383" s="27" t="s">
        <v>1281</v>
      </c>
      <c r="G383" s="27" t="s">
        <v>156</v>
      </c>
      <c r="H383" s="27" t="s">
        <v>29</v>
      </c>
      <c r="L383" s="33"/>
      <c r="M383" s="34"/>
      <c r="N383">
        <f t="shared" si="5"/>
        <v>368</v>
      </c>
    </row>
    <row r="384" spans="1:14">
      <c r="A384" s="27" t="s">
        <v>343</v>
      </c>
      <c r="B384" s="27" t="s">
        <v>53</v>
      </c>
      <c r="C384" s="27" t="s">
        <v>344</v>
      </c>
      <c r="D384" s="27" t="s">
        <v>156</v>
      </c>
      <c r="E384" t="s">
        <v>1282</v>
      </c>
      <c r="F384" s="27" t="s">
        <v>1283</v>
      </c>
      <c r="G384" s="27" t="s">
        <v>156</v>
      </c>
      <c r="H384" s="27" t="s">
        <v>29</v>
      </c>
      <c r="L384" s="33"/>
      <c r="M384" s="34"/>
      <c r="N384">
        <f t="shared" si="5"/>
        <v>369</v>
      </c>
    </row>
    <row r="385" spans="1:14">
      <c r="A385" s="27" t="s">
        <v>343</v>
      </c>
      <c r="B385" s="27" t="s">
        <v>53</v>
      </c>
      <c r="C385" s="27" t="s">
        <v>344</v>
      </c>
      <c r="D385" s="27" t="s">
        <v>156</v>
      </c>
      <c r="E385" t="s">
        <v>1284</v>
      </c>
      <c r="F385" s="27" t="s">
        <v>1285</v>
      </c>
      <c r="G385" s="27" t="s">
        <v>156</v>
      </c>
      <c r="H385" s="27" t="s">
        <v>29</v>
      </c>
      <c r="L385" s="33"/>
      <c r="M385" s="34"/>
      <c r="N385">
        <f t="shared" si="5"/>
        <v>370</v>
      </c>
    </row>
    <row r="386" spans="1:14">
      <c r="A386" s="27" t="s">
        <v>343</v>
      </c>
      <c r="B386" s="27" t="s">
        <v>53</v>
      </c>
      <c r="C386" s="27" t="s">
        <v>344</v>
      </c>
      <c r="D386" s="27" t="s">
        <v>156</v>
      </c>
      <c r="E386" t="s">
        <v>1286</v>
      </c>
      <c r="F386" s="27" t="s">
        <v>1287</v>
      </c>
      <c r="G386" s="27" t="s">
        <v>156</v>
      </c>
      <c r="H386" s="27" t="s">
        <v>29</v>
      </c>
      <c r="L386" s="33"/>
      <c r="M386" s="34"/>
      <c r="N386">
        <f t="shared" ref="N386:N449" si="6">IFERROR(VALUE(MID(E386,3,5)),"")</f>
        <v>371</v>
      </c>
    </row>
    <row r="387" spans="1:14">
      <c r="A387" s="27" t="s">
        <v>343</v>
      </c>
      <c r="B387" s="27" t="s">
        <v>53</v>
      </c>
      <c r="C387" s="27" t="s">
        <v>344</v>
      </c>
      <c r="D387" s="27" t="s">
        <v>156</v>
      </c>
      <c r="E387" t="s">
        <v>1288</v>
      </c>
      <c r="F387" s="27" t="s">
        <v>1289</v>
      </c>
      <c r="G387" s="27" t="s">
        <v>156</v>
      </c>
      <c r="H387" s="27" t="s">
        <v>29</v>
      </c>
      <c r="L387" s="33"/>
      <c r="M387" s="34"/>
      <c r="N387">
        <f t="shared" si="6"/>
        <v>372</v>
      </c>
    </row>
    <row r="388" spans="1:14">
      <c r="A388" s="27" t="s">
        <v>343</v>
      </c>
      <c r="B388" s="27" t="s">
        <v>53</v>
      </c>
      <c r="C388" s="27" t="s">
        <v>344</v>
      </c>
      <c r="D388" s="27" t="s">
        <v>156</v>
      </c>
      <c r="E388" t="s">
        <v>1290</v>
      </c>
      <c r="F388" s="27" t="s">
        <v>1291</v>
      </c>
      <c r="G388" s="27" t="s">
        <v>156</v>
      </c>
      <c r="H388" s="27" t="s">
        <v>29</v>
      </c>
      <c r="L388" s="33"/>
      <c r="M388" s="34"/>
      <c r="N388">
        <f t="shared" si="6"/>
        <v>373</v>
      </c>
    </row>
    <row r="389" spans="1:14">
      <c r="A389" s="27" t="s">
        <v>343</v>
      </c>
      <c r="B389" s="27" t="s">
        <v>53</v>
      </c>
      <c r="C389" s="27" t="s">
        <v>344</v>
      </c>
      <c r="D389" s="27" t="s">
        <v>156</v>
      </c>
      <c r="E389" t="s">
        <v>1292</v>
      </c>
      <c r="F389" s="27" t="s">
        <v>1293</v>
      </c>
      <c r="G389" s="27" t="s">
        <v>156</v>
      </c>
      <c r="H389" s="27" t="s">
        <v>29</v>
      </c>
      <c r="L389" s="33"/>
      <c r="M389" s="34"/>
      <c r="N389">
        <f t="shared" si="6"/>
        <v>374</v>
      </c>
    </row>
    <row r="390" spans="1:14">
      <c r="A390" s="27" t="s">
        <v>343</v>
      </c>
      <c r="B390" s="27" t="s">
        <v>53</v>
      </c>
      <c r="C390" s="27" t="s">
        <v>344</v>
      </c>
      <c r="D390" s="27" t="s">
        <v>156</v>
      </c>
      <c r="E390" t="s">
        <v>1294</v>
      </c>
      <c r="F390" s="27" t="s">
        <v>1295</v>
      </c>
      <c r="G390" s="27" t="s">
        <v>156</v>
      </c>
      <c r="H390" s="27" t="s">
        <v>29</v>
      </c>
      <c r="L390" s="33"/>
      <c r="M390" s="34"/>
      <c r="N390">
        <f t="shared" si="6"/>
        <v>375</v>
      </c>
    </row>
    <row r="391" spans="1:14">
      <c r="A391" s="27" t="s">
        <v>343</v>
      </c>
      <c r="B391" s="27" t="s">
        <v>53</v>
      </c>
      <c r="C391" s="27" t="s">
        <v>344</v>
      </c>
      <c r="D391" s="27" t="s">
        <v>156</v>
      </c>
      <c r="E391" t="s">
        <v>1296</v>
      </c>
      <c r="F391" s="27" t="s">
        <v>1241</v>
      </c>
      <c r="G391" s="27" t="s">
        <v>156</v>
      </c>
      <c r="H391" s="27" t="s">
        <v>29</v>
      </c>
      <c r="L391" s="33"/>
      <c r="M391" s="34"/>
      <c r="N391">
        <f t="shared" si="6"/>
        <v>376</v>
      </c>
    </row>
    <row r="392" spans="1:14">
      <c r="A392" s="27" t="s">
        <v>343</v>
      </c>
      <c r="B392" s="27" t="s">
        <v>53</v>
      </c>
      <c r="C392" s="27" t="s">
        <v>344</v>
      </c>
      <c r="D392" s="27" t="s">
        <v>156</v>
      </c>
      <c r="E392" t="s">
        <v>1297</v>
      </c>
      <c r="F392" s="27" t="s">
        <v>1298</v>
      </c>
      <c r="G392" s="27" t="s">
        <v>156</v>
      </c>
      <c r="H392" s="27" t="s">
        <v>29</v>
      </c>
      <c r="L392" s="33"/>
      <c r="M392" s="34"/>
      <c r="N392">
        <f t="shared" si="6"/>
        <v>377</v>
      </c>
    </row>
    <row r="393" spans="1:14">
      <c r="A393" s="27" t="s">
        <v>343</v>
      </c>
      <c r="B393" s="27" t="s">
        <v>53</v>
      </c>
      <c r="C393" s="27" t="s">
        <v>344</v>
      </c>
      <c r="D393" s="27" t="s">
        <v>156</v>
      </c>
      <c r="E393" t="s">
        <v>1299</v>
      </c>
      <c r="F393" s="27" t="s">
        <v>1300</v>
      </c>
      <c r="G393" s="27" t="s">
        <v>156</v>
      </c>
      <c r="H393" s="27" t="s">
        <v>29</v>
      </c>
      <c r="L393" s="33"/>
      <c r="M393" s="34"/>
      <c r="N393">
        <f t="shared" si="6"/>
        <v>378</v>
      </c>
    </row>
    <row r="394" spans="1:14">
      <c r="A394" s="27" t="s">
        <v>343</v>
      </c>
      <c r="B394" s="27" t="s">
        <v>53</v>
      </c>
      <c r="C394" s="27" t="s">
        <v>344</v>
      </c>
      <c r="D394" s="27" t="s">
        <v>156</v>
      </c>
      <c r="E394" t="s">
        <v>1301</v>
      </c>
      <c r="F394" s="27" t="s">
        <v>1302</v>
      </c>
      <c r="G394" s="27" t="s">
        <v>156</v>
      </c>
      <c r="H394" s="27" t="s">
        <v>29</v>
      </c>
      <c r="L394" s="33"/>
      <c r="M394" s="34"/>
      <c r="N394">
        <f t="shared" si="6"/>
        <v>379</v>
      </c>
    </row>
    <row r="395" spans="1:14">
      <c r="A395" s="27" t="s">
        <v>343</v>
      </c>
      <c r="B395" s="27" t="s">
        <v>53</v>
      </c>
      <c r="C395" s="27" t="s">
        <v>344</v>
      </c>
      <c r="D395" s="27" t="s">
        <v>156</v>
      </c>
      <c r="E395" t="s">
        <v>1303</v>
      </c>
      <c r="F395" s="27" t="s">
        <v>1304</v>
      </c>
      <c r="G395" s="27" t="s">
        <v>156</v>
      </c>
      <c r="H395" s="27" t="s">
        <v>29</v>
      </c>
      <c r="L395" s="33"/>
      <c r="M395" s="34"/>
      <c r="N395">
        <f t="shared" si="6"/>
        <v>380</v>
      </c>
    </row>
    <row r="396" spans="1:14">
      <c r="A396" s="27" t="s">
        <v>343</v>
      </c>
      <c r="B396" s="27" t="s">
        <v>53</v>
      </c>
      <c r="C396" s="27" t="s">
        <v>344</v>
      </c>
      <c r="D396" s="27" t="s">
        <v>156</v>
      </c>
      <c r="E396" t="s">
        <v>1305</v>
      </c>
      <c r="F396" s="27" t="s">
        <v>1306</v>
      </c>
      <c r="G396" s="27" t="s">
        <v>156</v>
      </c>
      <c r="H396" s="27" t="s">
        <v>29</v>
      </c>
      <c r="L396" s="33"/>
      <c r="M396" s="34"/>
      <c r="N396">
        <f t="shared" si="6"/>
        <v>381</v>
      </c>
    </row>
    <row r="397" spans="1:14">
      <c r="A397" s="27" t="s">
        <v>343</v>
      </c>
      <c r="B397" s="27" t="s">
        <v>53</v>
      </c>
      <c r="C397" s="27" t="s">
        <v>344</v>
      </c>
      <c r="D397" s="27" t="s">
        <v>156</v>
      </c>
      <c r="E397" t="s">
        <v>1307</v>
      </c>
      <c r="F397" s="27" t="s">
        <v>1308</v>
      </c>
      <c r="G397" s="27" t="s">
        <v>156</v>
      </c>
      <c r="H397" s="27" t="s">
        <v>29</v>
      </c>
      <c r="L397" s="33"/>
      <c r="M397" s="34"/>
      <c r="N397">
        <f t="shared" si="6"/>
        <v>382</v>
      </c>
    </row>
    <row r="398" spans="1:14">
      <c r="A398" s="27" t="s">
        <v>343</v>
      </c>
      <c r="B398" s="27" t="s">
        <v>53</v>
      </c>
      <c r="C398" s="27" t="s">
        <v>344</v>
      </c>
      <c r="D398" s="27" t="s">
        <v>156</v>
      </c>
      <c r="E398" t="s">
        <v>1309</v>
      </c>
      <c r="F398" s="27" t="s">
        <v>1310</v>
      </c>
      <c r="G398" s="27" t="s">
        <v>156</v>
      </c>
      <c r="H398" s="27" t="s">
        <v>29</v>
      </c>
      <c r="L398" s="33"/>
      <c r="M398" s="34"/>
      <c r="N398">
        <f t="shared" si="6"/>
        <v>383</v>
      </c>
    </row>
    <row r="399" spans="1:14">
      <c r="A399" s="27" t="s">
        <v>343</v>
      </c>
      <c r="B399" s="27" t="s">
        <v>53</v>
      </c>
      <c r="C399" s="27" t="s">
        <v>1311</v>
      </c>
      <c r="D399" s="27" t="s">
        <v>156</v>
      </c>
      <c r="E399" t="s">
        <v>1312</v>
      </c>
      <c r="F399" s="27" t="s">
        <v>1313</v>
      </c>
      <c r="G399" s="27" t="s">
        <v>156</v>
      </c>
      <c r="H399" s="27" t="s">
        <v>29</v>
      </c>
      <c r="L399" s="33"/>
      <c r="M399" s="34"/>
      <c r="N399">
        <f t="shared" si="6"/>
        <v>384</v>
      </c>
    </row>
    <row r="400" spans="1:14">
      <c r="A400" s="27" t="s">
        <v>398</v>
      </c>
      <c r="B400" s="27" t="s">
        <v>53</v>
      </c>
      <c r="C400" s="27" t="s">
        <v>399</v>
      </c>
      <c r="D400" s="27" t="s">
        <v>147</v>
      </c>
      <c r="E400" t="s">
        <v>1314</v>
      </c>
      <c r="F400" s="27" t="s">
        <v>1315</v>
      </c>
      <c r="G400" s="27" t="s">
        <v>147</v>
      </c>
      <c r="H400" s="27" t="s">
        <v>29</v>
      </c>
      <c r="I400" s="27" t="s">
        <v>1316</v>
      </c>
      <c r="L400" s="33"/>
      <c r="M400" s="34"/>
      <c r="N400">
        <f t="shared" si="6"/>
        <v>385</v>
      </c>
    </row>
    <row r="401" spans="1:14">
      <c r="L401" s="33"/>
      <c r="M401" s="34"/>
      <c r="N401" t="str">
        <f t="shared" si="6"/>
        <v/>
      </c>
    </row>
    <row r="402" spans="1:14">
      <c r="A402" s="27" t="s">
        <v>232</v>
      </c>
      <c r="C402" s="27" t="s">
        <v>1317</v>
      </c>
      <c r="E402" t="s">
        <v>1318</v>
      </c>
      <c r="F402" s="27" t="s">
        <v>1319</v>
      </c>
      <c r="L402" s="33"/>
      <c r="M402" s="34"/>
      <c r="N402">
        <f t="shared" si="6"/>
        <v>386</v>
      </c>
    </row>
    <row r="403" spans="1:14">
      <c r="A403" s="44" t="s">
        <v>341</v>
      </c>
      <c r="B403" s="44" t="s">
        <v>53</v>
      </c>
      <c r="C403" s="44" t="s">
        <v>342</v>
      </c>
      <c r="D403" s="44" t="s">
        <v>156</v>
      </c>
      <c r="E403" s="44" t="s">
        <v>1480</v>
      </c>
      <c r="F403" s="44" t="s">
        <v>1478</v>
      </c>
      <c r="G403" s="44" t="s">
        <v>1477</v>
      </c>
      <c r="H403" s="44" t="s">
        <v>29</v>
      </c>
      <c r="I403" s="44" t="s">
        <v>1479</v>
      </c>
      <c r="J403" s="44"/>
      <c r="K403" s="44"/>
      <c r="L403" s="44" t="s">
        <v>1481</v>
      </c>
      <c r="M403" s="45">
        <v>46279.872410416669</v>
      </c>
      <c r="N403" s="44">
        <v>387</v>
      </c>
    </row>
    <row r="404" spans="1:14">
      <c r="L404" s="33"/>
      <c r="M404" s="34"/>
      <c r="N404" t="str">
        <f t="shared" si="6"/>
        <v/>
      </c>
    </row>
    <row r="405" spans="1:14">
      <c r="L405" s="33"/>
      <c r="M405" s="34"/>
      <c r="N405" t="str">
        <f t="shared" si="6"/>
        <v/>
      </c>
    </row>
    <row r="406" spans="1:14">
      <c r="L406" s="33"/>
      <c r="M406" s="34"/>
      <c r="N406" t="str">
        <f t="shared" si="6"/>
        <v/>
      </c>
    </row>
    <row r="407" spans="1:14">
      <c r="L407" s="33"/>
      <c r="M407" s="34"/>
      <c r="N407" t="str">
        <f t="shared" si="6"/>
        <v/>
      </c>
    </row>
    <row r="408" spans="1:14">
      <c r="L408" s="33"/>
      <c r="M408" s="34"/>
      <c r="N408" t="str">
        <f t="shared" si="6"/>
        <v/>
      </c>
    </row>
    <row r="409" spans="1:14">
      <c r="L409" s="33"/>
      <c r="M409" s="34"/>
      <c r="N409" t="str">
        <f t="shared" si="6"/>
        <v/>
      </c>
    </row>
    <row r="410" spans="1:14">
      <c r="L410" s="33"/>
      <c r="M410" s="34"/>
      <c r="N410" t="str">
        <f t="shared" si="6"/>
        <v/>
      </c>
    </row>
    <row r="411" spans="1:14">
      <c r="L411" s="33"/>
      <c r="M411" s="34"/>
      <c r="N411" t="str">
        <f t="shared" si="6"/>
        <v/>
      </c>
    </row>
    <row r="412" spans="1:14">
      <c r="L412" s="33"/>
      <c r="M412" s="34"/>
      <c r="N412" t="str">
        <f t="shared" si="6"/>
        <v/>
      </c>
    </row>
    <row r="413" spans="1:14">
      <c r="L413" s="33"/>
      <c r="M413" s="34"/>
      <c r="N413" t="str">
        <f t="shared" si="6"/>
        <v/>
      </c>
    </row>
    <row r="414" spans="1:14">
      <c r="L414" s="33"/>
      <c r="M414" s="34"/>
      <c r="N414" t="str">
        <f t="shared" si="6"/>
        <v/>
      </c>
    </row>
    <row r="415" spans="1:14">
      <c r="L415" s="33"/>
      <c r="M415" s="34"/>
      <c r="N415" t="str">
        <f t="shared" si="6"/>
        <v/>
      </c>
    </row>
    <row r="416" spans="1:14">
      <c r="L416" s="33"/>
      <c r="M416" s="34"/>
      <c r="N416" t="str">
        <f t="shared" si="6"/>
        <v/>
      </c>
    </row>
    <row r="417" spans="12:14">
      <c r="L417" s="33"/>
      <c r="M417" s="34"/>
      <c r="N417" t="str">
        <f t="shared" si="6"/>
        <v/>
      </c>
    </row>
    <row r="418" spans="12:14">
      <c r="L418" s="33"/>
      <c r="M418" s="34"/>
      <c r="N418" t="str">
        <f t="shared" si="6"/>
        <v/>
      </c>
    </row>
    <row r="419" spans="12:14">
      <c r="L419" s="33"/>
      <c r="M419" s="34"/>
      <c r="N419" t="str">
        <f t="shared" si="6"/>
        <v/>
      </c>
    </row>
    <row r="420" spans="12:14">
      <c r="L420" s="33"/>
      <c r="M420" s="34"/>
      <c r="N420" t="str">
        <f t="shared" si="6"/>
        <v/>
      </c>
    </row>
    <row r="421" spans="12:14">
      <c r="L421" s="33"/>
      <c r="M421" s="34"/>
      <c r="N421" t="str">
        <f t="shared" si="6"/>
        <v/>
      </c>
    </row>
    <row r="422" spans="12:14">
      <c r="L422" s="33"/>
      <c r="M422" s="34"/>
      <c r="N422" t="str">
        <f t="shared" si="6"/>
        <v/>
      </c>
    </row>
    <row r="423" spans="12:14">
      <c r="L423" s="33"/>
      <c r="M423" s="34"/>
      <c r="N423" t="str">
        <f t="shared" si="6"/>
        <v/>
      </c>
    </row>
    <row r="424" spans="12:14">
      <c r="L424" s="33"/>
      <c r="M424" s="34"/>
      <c r="N424" t="str">
        <f t="shared" si="6"/>
        <v/>
      </c>
    </row>
    <row r="425" spans="12:14">
      <c r="L425" s="33"/>
      <c r="M425" s="34"/>
      <c r="N425" t="str">
        <f t="shared" si="6"/>
        <v/>
      </c>
    </row>
    <row r="426" spans="12:14">
      <c r="L426" s="33"/>
      <c r="M426" s="34"/>
      <c r="N426" t="str">
        <f t="shared" si="6"/>
        <v/>
      </c>
    </row>
    <row r="427" spans="12:14">
      <c r="L427" s="33"/>
      <c r="M427" s="34"/>
      <c r="N427" t="str">
        <f t="shared" si="6"/>
        <v/>
      </c>
    </row>
    <row r="428" spans="12:14">
      <c r="L428" s="33"/>
      <c r="M428" s="34"/>
      <c r="N428" t="str">
        <f t="shared" si="6"/>
        <v/>
      </c>
    </row>
    <row r="429" spans="12:14">
      <c r="L429" s="33"/>
      <c r="M429" s="34"/>
      <c r="N429" t="str">
        <f t="shared" si="6"/>
        <v/>
      </c>
    </row>
    <row r="430" spans="12:14">
      <c r="L430" s="33"/>
      <c r="M430" s="34"/>
      <c r="N430" t="str">
        <f t="shared" si="6"/>
        <v/>
      </c>
    </row>
    <row r="431" spans="12:14">
      <c r="L431" s="33"/>
      <c r="M431" s="34"/>
      <c r="N431" t="str">
        <f t="shared" si="6"/>
        <v/>
      </c>
    </row>
    <row r="432" spans="12:14">
      <c r="L432" s="33"/>
      <c r="M432" s="34"/>
      <c r="N432" t="str">
        <f t="shared" si="6"/>
        <v/>
      </c>
    </row>
    <row r="433" spans="12:14">
      <c r="L433" s="33"/>
      <c r="M433" s="34"/>
      <c r="N433" t="str">
        <f t="shared" si="6"/>
        <v/>
      </c>
    </row>
    <row r="434" spans="12:14">
      <c r="L434" s="33"/>
      <c r="M434" s="34"/>
      <c r="N434" t="str">
        <f t="shared" si="6"/>
        <v/>
      </c>
    </row>
    <row r="435" spans="12:14">
      <c r="L435" s="33"/>
      <c r="M435" s="34"/>
      <c r="N435" t="str">
        <f t="shared" si="6"/>
        <v/>
      </c>
    </row>
    <row r="436" spans="12:14">
      <c r="L436" s="33"/>
      <c r="M436" s="34"/>
      <c r="N436" t="str">
        <f t="shared" si="6"/>
        <v/>
      </c>
    </row>
    <row r="437" spans="12:14">
      <c r="L437" s="33"/>
      <c r="M437" s="34"/>
      <c r="N437" t="str">
        <f t="shared" si="6"/>
        <v/>
      </c>
    </row>
    <row r="438" spans="12:14">
      <c r="L438" s="33"/>
      <c r="M438" s="34"/>
      <c r="N438" t="str">
        <f t="shared" si="6"/>
        <v/>
      </c>
    </row>
    <row r="439" spans="12:14">
      <c r="L439" s="33"/>
      <c r="M439" s="34"/>
      <c r="N439" t="str">
        <f t="shared" si="6"/>
        <v/>
      </c>
    </row>
    <row r="440" spans="12:14">
      <c r="L440" s="33"/>
      <c r="M440" s="34"/>
      <c r="N440" t="str">
        <f t="shared" si="6"/>
        <v/>
      </c>
    </row>
    <row r="441" spans="12:14">
      <c r="L441" s="33"/>
      <c r="M441" s="34"/>
      <c r="N441" t="str">
        <f t="shared" si="6"/>
        <v/>
      </c>
    </row>
    <row r="442" spans="12:14">
      <c r="L442" s="33"/>
      <c r="M442" s="34"/>
      <c r="N442" t="str">
        <f t="shared" si="6"/>
        <v/>
      </c>
    </row>
    <row r="443" spans="12:14">
      <c r="L443" s="33"/>
      <c r="M443" s="34"/>
      <c r="N443" t="str">
        <f t="shared" si="6"/>
        <v/>
      </c>
    </row>
    <row r="444" spans="12:14">
      <c r="L444" s="33"/>
      <c r="M444" s="34"/>
      <c r="N444" t="str">
        <f t="shared" si="6"/>
        <v/>
      </c>
    </row>
    <row r="445" spans="12:14">
      <c r="L445" s="33"/>
      <c r="M445" s="34"/>
      <c r="N445" t="str">
        <f t="shared" si="6"/>
        <v/>
      </c>
    </row>
    <row r="446" spans="12:14">
      <c r="L446" s="33"/>
      <c r="M446" s="34"/>
      <c r="N446" t="str">
        <f t="shared" si="6"/>
        <v/>
      </c>
    </row>
    <row r="447" spans="12:14">
      <c r="L447" s="33"/>
      <c r="M447" s="34"/>
      <c r="N447" t="str">
        <f t="shared" si="6"/>
        <v/>
      </c>
    </row>
    <row r="448" spans="12:14">
      <c r="L448" s="33"/>
      <c r="M448" s="34"/>
      <c r="N448" t="str">
        <f t="shared" si="6"/>
        <v/>
      </c>
    </row>
    <row r="449" spans="12:14">
      <c r="L449" s="33"/>
      <c r="M449" s="34"/>
      <c r="N449" t="str">
        <f t="shared" si="6"/>
        <v/>
      </c>
    </row>
    <row r="450" spans="12:14">
      <c r="L450" s="33"/>
      <c r="M450" s="34"/>
      <c r="N450" t="str">
        <f t="shared" ref="N450:N513" si="7">IFERROR(VALUE(MID(E450,3,5)),"")</f>
        <v/>
      </c>
    </row>
    <row r="451" spans="12:14">
      <c r="L451" s="33"/>
      <c r="M451" s="34"/>
      <c r="N451" t="str">
        <f t="shared" si="7"/>
        <v/>
      </c>
    </row>
    <row r="452" spans="12:14">
      <c r="L452" s="33"/>
      <c r="M452" s="34"/>
      <c r="N452" t="str">
        <f t="shared" si="7"/>
        <v/>
      </c>
    </row>
    <row r="453" spans="12:14">
      <c r="L453" s="33"/>
      <c r="M453" s="34"/>
      <c r="N453" t="str">
        <f t="shared" si="7"/>
        <v/>
      </c>
    </row>
    <row r="454" spans="12:14">
      <c r="L454" s="33"/>
      <c r="M454" s="34"/>
      <c r="N454" t="str">
        <f t="shared" si="7"/>
        <v/>
      </c>
    </row>
    <row r="455" spans="12:14">
      <c r="L455" s="33"/>
      <c r="M455" s="34"/>
      <c r="N455" t="str">
        <f t="shared" si="7"/>
        <v/>
      </c>
    </row>
    <row r="456" spans="12:14">
      <c r="L456" s="33"/>
      <c r="M456" s="34"/>
      <c r="N456" t="str">
        <f t="shared" si="7"/>
        <v/>
      </c>
    </row>
    <row r="457" spans="12:14">
      <c r="L457" s="33"/>
      <c r="M457" s="34"/>
      <c r="N457" t="str">
        <f t="shared" si="7"/>
        <v/>
      </c>
    </row>
    <row r="458" spans="12:14">
      <c r="L458" s="33"/>
      <c r="M458" s="34"/>
      <c r="N458" t="str">
        <f t="shared" si="7"/>
        <v/>
      </c>
    </row>
    <row r="459" spans="12:14">
      <c r="L459" s="33"/>
      <c r="M459" s="34"/>
      <c r="N459" t="str">
        <f t="shared" si="7"/>
        <v/>
      </c>
    </row>
    <row r="460" spans="12:14">
      <c r="L460" s="33"/>
      <c r="M460" s="34"/>
      <c r="N460" t="str">
        <f t="shared" si="7"/>
        <v/>
      </c>
    </row>
    <row r="461" spans="12:14">
      <c r="L461" s="33"/>
      <c r="M461" s="34"/>
      <c r="N461" t="str">
        <f t="shared" si="7"/>
        <v/>
      </c>
    </row>
    <row r="462" spans="12:14">
      <c r="L462" s="33"/>
      <c r="M462" s="34"/>
      <c r="N462" t="str">
        <f t="shared" si="7"/>
        <v/>
      </c>
    </row>
    <row r="463" spans="12:14">
      <c r="L463" s="33"/>
      <c r="M463" s="34"/>
      <c r="N463" t="str">
        <f t="shared" si="7"/>
        <v/>
      </c>
    </row>
    <row r="464" spans="12:14">
      <c r="L464" s="33"/>
      <c r="M464" s="34"/>
      <c r="N464" t="str">
        <f t="shared" si="7"/>
        <v/>
      </c>
    </row>
    <row r="465" spans="12:14">
      <c r="L465" s="33"/>
      <c r="M465" s="34"/>
      <c r="N465" t="str">
        <f t="shared" si="7"/>
        <v/>
      </c>
    </row>
    <row r="466" spans="12:14">
      <c r="L466" s="33"/>
      <c r="M466" s="34"/>
      <c r="N466" t="str">
        <f t="shared" si="7"/>
        <v/>
      </c>
    </row>
    <row r="467" spans="12:14">
      <c r="L467" s="33"/>
      <c r="M467" s="34"/>
      <c r="N467" t="str">
        <f t="shared" si="7"/>
        <v/>
      </c>
    </row>
    <row r="468" spans="12:14">
      <c r="L468" s="33"/>
      <c r="M468" s="34"/>
      <c r="N468" t="str">
        <f t="shared" si="7"/>
        <v/>
      </c>
    </row>
    <row r="469" spans="12:14">
      <c r="L469" s="33"/>
      <c r="M469" s="34"/>
      <c r="N469" t="str">
        <f t="shared" si="7"/>
        <v/>
      </c>
    </row>
    <row r="470" spans="12:14">
      <c r="L470" s="33"/>
      <c r="M470" s="34"/>
      <c r="N470" t="str">
        <f t="shared" si="7"/>
        <v/>
      </c>
    </row>
    <row r="471" spans="12:14">
      <c r="L471" s="33"/>
      <c r="M471" s="34"/>
      <c r="N471" t="str">
        <f t="shared" si="7"/>
        <v/>
      </c>
    </row>
    <row r="472" spans="12:14">
      <c r="L472" s="33"/>
      <c r="M472" s="34"/>
      <c r="N472" t="str">
        <f t="shared" si="7"/>
        <v/>
      </c>
    </row>
    <row r="473" spans="12:14">
      <c r="L473" s="33"/>
      <c r="M473" s="34"/>
      <c r="N473" t="str">
        <f t="shared" si="7"/>
        <v/>
      </c>
    </row>
    <row r="474" spans="12:14">
      <c r="L474" s="33"/>
      <c r="M474" s="34"/>
      <c r="N474" t="str">
        <f t="shared" si="7"/>
        <v/>
      </c>
    </row>
    <row r="475" spans="12:14">
      <c r="L475" s="33"/>
      <c r="M475" s="34"/>
      <c r="N475" t="str">
        <f t="shared" si="7"/>
        <v/>
      </c>
    </row>
    <row r="476" spans="12:14">
      <c r="L476" s="33"/>
      <c r="M476" s="34"/>
      <c r="N476" t="str">
        <f t="shared" si="7"/>
        <v/>
      </c>
    </row>
    <row r="477" spans="12:14">
      <c r="L477" s="33"/>
      <c r="M477" s="34"/>
      <c r="N477" t="str">
        <f t="shared" si="7"/>
        <v/>
      </c>
    </row>
    <row r="478" spans="12:14">
      <c r="L478" s="33"/>
      <c r="M478" s="34"/>
      <c r="N478" t="str">
        <f t="shared" si="7"/>
        <v/>
      </c>
    </row>
    <row r="479" spans="12:14">
      <c r="L479" s="33"/>
      <c r="M479" s="34"/>
      <c r="N479" t="str">
        <f t="shared" si="7"/>
        <v/>
      </c>
    </row>
    <row r="480" spans="12:14">
      <c r="L480" s="33"/>
      <c r="M480" s="34"/>
      <c r="N480" t="str">
        <f t="shared" si="7"/>
        <v/>
      </c>
    </row>
    <row r="481" spans="12:14">
      <c r="L481" s="33"/>
      <c r="M481" s="34"/>
      <c r="N481" t="str">
        <f t="shared" si="7"/>
        <v/>
      </c>
    </row>
    <row r="482" spans="12:14">
      <c r="L482" s="33"/>
      <c r="M482" s="34"/>
      <c r="N482" t="str">
        <f t="shared" si="7"/>
        <v/>
      </c>
    </row>
    <row r="483" spans="12:14">
      <c r="L483" s="33"/>
      <c r="M483" s="34"/>
      <c r="N483" t="str">
        <f t="shared" si="7"/>
        <v/>
      </c>
    </row>
    <row r="484" spans="12:14">
      <c r="L484" s="33"/>
      <c r="M484" s="34"/>
      <c r="N484" t="str">
        <f t="shared" si="7"/>
        <v/>
      </c>
    </row>
    <row r="485" spans="12:14">
      <c r="L485" s="33"/>
      <c r="M485" s="34"/>
      <c r="N485" t="str">
        <f t="shared" si="7"/>
        <v/>
      </c>
    </row>
    <row r="486" spans="12:14">
      <c r="L486" s="33"/>
      <c r="M486" s="34"/>
      <c r="N486" t="str">
        <f t="shared" si="7"/>
        <v/>
      </c>
    </row>
    <row r="487" spans="12:14">
      <c r="L487" s="33"/>
      <c r="M487" s="34"/>
      <c r="N487" t="str">
        <f t="shared" si="7"/>
        <v/>
      </c>
    </row>
    <row r="488" spans="12:14">
      <c r="L488" s="33"/>
      <c r="M488" s="34"/>
      <c r="N488" t="str">
        <f t="shared" si="7"/>
        <v/>
      </c>
    </row>
    <row r="489" spans="12:14">
      <c r="L489" s="33"/>
      <c r="M489" s="34"/>
      <c r="N489" t="str">
        <f t="shared" si="7"/>
        <v/>
      </c>
    </row>
    <row r="490" spans="12:14">
      <c r="L490" s="33"/>
      <c r="M490" s="34"/>
      <c r="N490" t="str">
        <f t="shared" si="7"/>
        <v/>
      </c>
    </row>
    <row r="491" spans="12:14">
      <c r="L491" s="33"/>
      <c r="M491" s="34"/>
      <c r="N491" t="str">
        <f t="shared" si="7"/>
        <v/>
      </c>
    </row>
    <row r="492" spans="12:14">
      <c r="L492" s="33"/>
      <c r="M492" s="34"/>
      <c r="N492" t="str">
        <f t="shared" si="7"/>
        <v/>
      </c>
    </row>
    <row r="493" spans="12:14">
      <c r="L493" s="33"/>
      <c r="M493" s="34"/>
      <c r="N493" t="str">
        <f t="shared" si="7"/>
        <v/>
      </c>
    </row>
    <row r="494" spans="12:14">
      <c r="L494" s="33"/>
      <c r="M494" s="34"/>
      <c r="N494" t="str">
        <f t="shared" si="7"/>
        <v/>
      </c>
    </row>
    <row r="495" spans="12:14">
      <c r="L495" s="33"/>
      <c r="M495" s="34"/>
      <c r="N495" t="str">
        <f t="shared" si="7"/>
        <v/>
      </c>
    </row>
    <row r="496" spans="12:14">
      <c r="L496" s="33"/>
      <c r="M496" s="34"/>
      <c r="N496" t="str">
        <f t="shared" si="7"/>
        <v/>
      </c>
    </row>
    <row r="497" spans="12:14">
      <c r="L497" s="33"/>
      <c r="M497" s="34"/>
      <c r="N497" t="str">
        <f t="shared" si="7"/>
        <v/>
      </c>
    </row>
    <row r="498" spans="12:14">
      <c r="L498" s="33"/>
      <c r="M498" s="34"/>
      <c r="N498" t="str">
        <f t="shared" si="7"/>
        <v/>
      </c>
    </row>
    <row r="499" spans="12:14">
      <c r="L499" s="33"/>
      <c r="M499" s="34"/>
      <c r="N499" t="str">
        <f t="shared" si="7"/>
        <v/>
      </c>
    </row>
    <row r="500" spans="12:14">
      <c r="L500" s="33"/>
      <c r="M500" s="34"/>
      <c r="N500" t="str">
        <f t="shared" si="7"/>
        <v/>
      </c>
    </row>
    <row r="501" spans="12:14">
      <c r="L501" s="33"/>
      <c r="M501" s="34"/>
      <c r="N501" t="str">
        <f t="shared" si="7"/>
        <v/>
      </c>
    </row>
    <row r="502" spans="12:14">
      <c r="L502" s="33"/>
      <c r="M502" s="34"/>
      <c r="N502" t="str">
        <f t="shared" si="7"/>
        <v/>
      </c>
    </row>
    <row r="503" spans="12:14">
      <c r="L503" s="33"/>
      <c r="M503" s="34"/>
      <c r="N503" t="str">
        <f t="shared" si="7"/>
        <v/>
      </c>
    </row>
    <row r="504" spans="12:14">
      <c r="L504" s="33"/>
      <c r="M504" s="34"/>
      <c r="N504" t="str">
        <f t="shared" si="7"/>
        <v/>
      </c>
    </row>
    <row r="505" spans="12:14">
      <c r="L505" s="33"/>
      <c r="M505" s="34"/>
      <c r="N505" t="str">
        <f t="shared" si="7"/>
        <v/>
      </c>
    </row>
    <row r="506" spans="12:14">
      <c r="L506" s="33"/>
      <c r="M506" s="34"/>
      <c r="N506" t="str">
        <f t="shared" si="7"/>
        <v/>
      </c>
    </row>
    <row r="507" spans="12:14">
      <c r="L507" s="33"/>
      <c r="M507" s="34"/>
      <c r="N507" t="str">
        <f t="shared" si="7"/>
        <v/>
      </c>
    </row>
    <row r="508" spans="12:14">
      <c r="L508" s="33"/>
      <c r="M508" s="34"/>
      <c r="N508" t="str">
        <f t="shared" si="7"/>
        <v/>
      </c>
    </row>
    <row r="509" spans="12:14">
      <c r="L509" s="33"/>
      <c r="M509" s="34"/>
      <c r="N509" t="str">
        <f t="shared" si="7"/>
        <v/>
      </c>
    </row>
    <row r="510" spans="12:14">
      <c r="L510" s="33"/>
      <c r="M510" s="34"/>
      <c r="N510" t="str">
        <f t="shared" si="7"/>
        <v/>
      </c>
    </row>
    <row r="511" spans="12:14">
      <c r="L511" s="33"/>
      <c r="M511" s="34"/>
      <c r="N511" t="str">
        <f t="shared" si="7"/>
        <v/>
      </c>
    </row>
    <row r="512" spans="12:14">
      <c r="L512" s="33"/>
      <c r="M512" s="34"/>
      <c r="N512" t="str">
        <f t="shared" si="7"/>
        <v/>
      </c>
    </row>
    <row r="513" spans="12:14">
      <c r="L513" s="33"/>
      <c r="M513" s="34"/>
      <c r="N513" t="str">
        <f t="shared" si="7"/>
        <v/>
      </c>
    </row>
    <row r="514" spans="12:14">
      <c r="L514" s="33"/>
      <c r="M514" s="34"/>
      <c r="N514" t="str">
        <f t="shared" ref="N514:N577" si="8">IFERROR(VALUE(MID(E514,3,5)),"")</f>
        <v/>
      </c>
    </row>
    <row r="515" spans="12:14">
      <c r="L515" s="33"/>
      <c r="M515" s="34"/>
      <c r="N515" t="str">
        <f t="shared" si="8"/>
        <v/>
      </c>
    </row>
    <row r="516" spans="12:14">
      <c r="L516" s="33"/>
      <c r="M516" s="34"/>
      <c r="N516" t="str">
        <f t="shared" si="8"/>
        <v/>
      </c>
    </row>
    <row r="517" spans="12:14">
      <c r="L517" s="33"/>
      <c r="M517" s="34"/>
      <c r="N517" t="str">
        <f t="shared" si="8"/>
        <v/>
      </c>
    </row>
    <row r="518" spans="12:14">
      <c r="L518" s="33"/>
      <c r="M518" s="34"/>
      <c r="N518" t="str">
        <f t="shared" si="8"/>
        <v/>
      </c>
    </row>
    <row r="519" spans="12:14">
      <c r="L519" s="33"/>
      <c r="M519" s="34"/>
      <c r="N519" t="str">
        <f t="shared" si="8"/>
        <v/>
      </c>
    </row>
    <row r="520" spans="12:14">
      <c r="L520" s="33"/>
      <c r="M520" s="34"/>
      <c r="N520" t="str">
        <f t="shared" si="8"/>
        <v/>
      </c>
    </row>
    <row r="521" spans="12:14">
      <c r="L521" s="33"/>
      <c r="M521" s="34"/>
      <c r="N521" t="str">
        <f t="shared" si="8"/>
        <v/>
      </c>
    </row>
    <row r="522" spans="12:14">
      <c r="L522" s="33"/>
      <c r="M522" s="34"/>
      <c r="N522" t="str">
        <f t="shared" si="8"/>
        <v/>
      </c>
    </row>
    <row r="523" spans="12:14">
      <c r="L523" s="33"/>
      <c r="M523" s="34"/>
      <c r="N523" t="str">
        <f t="shared" si="8"/>
        <v/>
      </c>
    </row>
    <row r="524" spans="12:14">
      <c r="L524" s="33"/>
      <c r="M524" s="34"/>
      <c r="N524" t="str">
        <f t="shared" si="8"/>
        <v/>
      </c>
    </row>
    <row r="525" spans="12:14">
      <c r="L525" s="33"/>
      <c r="M525" s="34"/>
      <c r="N525" t="str">
        <f t="shared" si="8"/>
        <v/>
      </c>
    </row>
    <row r="526" spans="12:14">
      <c r="L526" s="33"/>
      <c r="M526" s="34"/>
      <c r="N526" t="str">
        <f t="shared" si="8"/>
        <v/>
      </c>
    </row>
    <row r="527" spans="12:14">
      <c r="L527" s="33"/>
      <c r="M527" s="34"/>
      <c r="N527" t="str">
        <f t="shared" si="8"/>
        <v/>
      </c>
    </row>
    <row r="528" spans="12:14">
      <c r="L528" s="33"/>
      <c r="M528" s="34"/>
      <c r="N528" t="str">
        <f t="shared" si="8"/>
        <v/>
      </c>
    </row>
    <row r="529" spans="12:14">
      <c r="L529" s="33"/>
      <c r="M529" s="34"/>
      <c r="N529" t="str">
        <f t="shared" si="8"/>
        <v/>
      </c>
    </row>
    <row r="530" spans="12:14">
      <c r="L530" s="33"/>
      <c r="M530" s="34"/>
      <c r="N530" t="str">
        <f t="shared" si="8"/>
        <v/>
      </c>
    </row>
    <row r="531" spans="12:14">
      <c r="L531" s="33"/>
      <c r="M531" s="34"/>
      <c r="N531" t="str">
        <f t="shared" si="8"/>
        <v/>
      </c>
    </row>
    <row r="532" spans="12:14">
      <c r="L532" s="33"/>
      <c r="M532" s="34"/>
      <c r="N532" t="str">
        <f t="shared" si="8"/>
        <v/>
      </c>
    </row>
    <row r="533" spans="12:14">
      <c r="L533" s="33"/>
      <c r="M533" s="34"/>
      <c r="N533" t="str">
        <f t="shared" si="8"/>
        <v/>
      </c>
    </row>
    <row r="534" spans="12:14">
      <c r="L534" s="33"/>
      <c r="M534" s="34"/>
      <c r="N534" t="str">
        <f t="shared" si="8"/>
        <v/>
      </c>
    </row>
    <row r="535" spans="12:14">
      <c r="L535" s="33"/>
      <c r="M535" s="34"/>
      <c r="N535" t="str">
        <f t="shared" si="8"/>
        <v/>
      </c>
    </row>
    <row r="536" spans="12:14">
      <c r="L536" s="33"/>
      <c r="M536" s="34"/>
      <c r="N536" t="str">
        <f t="shared" si="8"/>
        <v/>
      </c>
    </row>
    <row r="537" spans="12:14">
      <c r="L537" s="33"/>
      <c r="M537" s="34"/>
      <c r="N537" t="str">
        <f t="shared" si="8"/>
        <v/>
      </c>
    </row>
    <row r="538" spans="12:14">
      <c r="L538" s="33"/>
      <c r="M538" s="34"/>
      <c r="N538" t="str">
        <f t="shared" si="8"/>
        <v/>
      </c>
    </row>
    <row r="539" spans="12:14">
      <c r="L539" s="33"/>
      <c r="M539" s="34"/>
      <c r="N539" t="str">
        <f t="shared" si="8"/>
        <v/>
      </c>
    </row>
    <row r="540" spans="12:14">
      <c r="L540" s="33"/>
      <c r="M540" s="34"/>
      <c r="N540" t="str">
        <f t="shared" si="8"/>
        <v/>
      </c>
    </row>
    <row r="541" spans="12:14">
      <c r="L541" s="33"/>
      <c r="M541" s="34"/>
      <c r="N541" t="str">
        <f t="shared" si="8"/>
        <v/>
      </c>
    </row>
    <row r="542" spans="12:14">
      <c r="L542" s="33"/>
      <c r="M542" s="34"/>
      <c r="N542" t="str">
        <f t="shared" si="8"/>
        <v/>
      </c>
    </row>
    <row r="543" spans="12:14">
      <c r="L543" s="33"/>
      <c r="M543" s="34"/>
      <c r="N543" t="str">
        <f t="shared" si="8"/>
        <v/>
      </c>
    </row>
    <row r="544" spans="12:14">
      <c r="L544" s="33"/>
      <c r="M544" s="34"/>
      <c r="N544" t="str">
        <f t="shared" si="8"/>
        <v/>
      </c>
    </row>
    <row r="545" spans="12:14">
      <c r="L545" s="33"/>
      <c r="M545" s="34"/>
      <c r="N545" t="str">
        <f t="shared" si="8"/>
        <v/>
      </c>
    </row>
    <row r="546" spans="12:14">
      <c r="L546" s="33"/>
      <c r="M546" s="34"/>
      <c r="N546" t="str">
        <f t="shared" si="8"/>
        <v/>
      </c>
    </row>
    <row r="547" spans="12:14">
      <c r="L547" s="33"/>
      <c r="M547" s="34"/>
      <c r="N547" t="str">
        <f t="shared" si="8"/>
        <v/>
      </c>
    </row>
    <row r="548" spans="12:14">
      <c r="L548" s="33"/>
      <c r="M548" s="34"/>
      <c r="N548" t="str">
        <f t="shared" si="8"/>
        <v/>
      </c>
    </row>
    <row r="549" spans="12:14">
      <c r="L549" s="33"/>
      <c r="M549" s="34"/>
      <c r="N549" t="str">
        <f t="shared" si="8"/>
        <v/>
      </c>
    </row>
    <row r="550" spans="12:14">
      <c r="L550" s="33"/>
      <c r="M550" s="34"/>
      <c r="N550" t="str">
        <f t="shared" si="8"/>
        <v/>
      </c>
    </row>
    <row r="551" spans="12:14">
      <c r="L551" s="33"/>
      <c r="M551" s="34"/>
      <c r="N551" t="str">
        <f t="shared" si="8"/>
        <v/>
      </c>
    </row>
    <row r="552" spans="12:14">
      <c r="L552" s="33"/>
      <c r="M552" s="34"/>
      <c r="N552" t="str">
        <f t="shared" si="8"/>
        <v/>
      </c>
    </row>
    <row r="553" spans="12:14">
      <c r="L553" s="33"/>
      <c r="M553" s="34"/>
      <c r="N553" t="str">
        <f t="shared" si="8"/>
        <v/>
      </c>
    </row>
    <row r="554" spans="12:14">
      <c r="L554" s="33"/>
      <c r="M554" s="34"/>
      <c r="N554" t="str">
        <f t="shared" si="8"/>
        <v/>
      </c>
    </row>
    <row r="555" spans="12:14">
      <c r="L555" s="33"/>
      <c r="M555" s="34"/>
      <c r="N555" t="str">
        <f t="shared" si="8"/>
        <v/>
      </c>
    </row>
    <row r="556" spans="12:14">
      <c r="L556" s="33"/>
      <c r="M556" s="34"/>
      <c r="N556" t="str">
        <f t="shared" si="8"/>
        <v/>
      </c>
    </row>
    <row r="557" spans="12:14">
      <c r="L557" s="33"/>
      <c r="M557" s="34"/>
      <c r="N557" t="str">
        <f t="shared" si="8"/>
        <v/>
      </c>
    </row>
    <row r="558" spans="12:14">
      <c r="L558" s="33"/>
      <c r="M558" s="34"/>
      <c r="N558" t="str">
        <f t="shared" si="8"/>
        <v/>
      </c>
    </row>
    <row r="559" spans="12:14">
      <c r="L559" s="33"/>
      <c r="M559" s="34"/>
      <c r="N559" t="str">
        <f t="shared" si="8"/>
        <v/>
      </c>
    </row>
    <row r="560" spans="12:14">
      <c r="L560" s="33"/>
      <c r="M560" s="34"/>
      <c r="N560" t="str">
        <f t="shared" si="8"/>
        <v/>
      </c>
    </row>
    <row r="561" spans="12:14">
      <c r="L561" s="33"/>
      <c r="M561" s="34"/>
      <c r="N561" t="str">
        <f t="shared" si="8"/>
        <v/>
      </c>
    </row>
    <row r="562" spans="12:14">
      <c r="L562" s="33"/>
      <c r="M562" s="34"/>
      <c r="N562" t="str">
        <f t="shared" si="8"/>
        <v/>
      </c>
    </row>
    <row r="563" spans="12:14">
      <c r="L563" s="33"/>
      <c r="M563" s="34"/>
      <c r="N563" t="str">
        <f t="shared" si="8"/>
        <v/>
      </c>
    </row>
    <row r="564" spans="12:14">
      <c r="L564" s="33"/>
      <c r="M564" s="34"/>
      <c r="N564" t="str">
        <f t="shared" si="8"/>
        <v/>
      </c>
    </row>
    <row r="565" spans="12:14">
      <c r="L565" s="33"/>
      <c r="M565" s="34"/>
      <c r="N565" t="str">
        <f t="shared" si="8"/>
        <v/>
      </c>
    </row>
    <row r="566" spans="12:14">
      <c r="L566" s="33"/>
      <c r="M566" s="34"/>
      <c r="N566" t="str">
        <f t="shared" si="8"/>
        <v/>
      </c>
    </row>
    <row r="567" spans="12:14">
      <c r="L567" s="33"/>
      <c r="M567" s="34"/>
      <c r="N567" t="str">
        <f t="shared" si="8"/>
        <v/>
      </c>
    </row>
    <row r="568" spans="12:14">
      <c r="L568" s="33"/>
      <c r="M568" s="34"/>
      <c r="N568" t="str">
        <f t="shared" si="8"/>
        <v/>
      </c>
    </row>
    <row r="569" spans="12:14">
      <c r="L569" s="33"/>
      <c r="M569" s="34"/>
      <c r="N569" t="str">
        <f t="shared" si="8"/>
        <v/>
      </c>
    </row>
    <row r="570" spans="12:14">
      <c r="L570" s="33"/>
      <c r="M570" s="34"/>
      <c r="N570" t="str">
        <f t="shared" si="8"/>
        <v/>
      </c>
    </row>
    <row r="571" spans="12:14">
      <c r="L571" s="33"/>
      <c r="M571" s="34"/>
      <c r="N571" t="str">
        <f t="shared" si="8"/>
        <v/>
      </c>
    </row>
    <row r="572" spans="12:14">
      <c r="L572" s="33"/>
      <c r="M572" s="34"/>
      <c r="N572" t="str">
        <f t="shared" si="8"/>
        <v/>
      </c>
    </row>
    <row r="573" spans="12:14">
      <c r="L573" s="33"/>
      <c r="M573" s="34"/>
      <c r="N573" t="str">
        <f t="shared" si="8"/>
        <v/>
      </c>
    </row>
    <row r="574" spans="12:14">
      <c r="L574" s="33"/>
      <c r="M574" s="34"/>
      <c r="N574" t="str">
        <f t="shared" si="8"/>
        <v/>
      </c>
    </row>
    <row r="575" spans="12:14">
      <c r="L575" s="33"/>
      <c r="M575" s="34"/>
      <c r="N575" t="str">
        <f t="shared" si="8"/>
        <v/>
      </c>
    </row>
    <row r="576" spans="12:14">
      <c r="L576" s="33"/>
      <c r="M576" s="34"/>
      <c r="N576" t="str">
        <f t="shared" si="8"/>
        <v/>
      </c>
    </row>
    <row r="577" spans="12:14">
      <c r="L577" s="33"/>
      <c r="M577" s="34"/>
      <c r="N577" t="str">
        <f t="shared" si="8"/>
        <v/>
      </c>
    </row>
    <row r="578" spans="12:14">
      <c r="L578" s="33"/>
      <c r="M578" s="34"/>
      <c r="N578" t="str">
        <f t="shared" ref="N578:N641" si="9">IFERROR(VALUE(MID(E578,3,5)),"")</f>
        <v/>
      </c>
    </row>
    <row r="579" spans="12:14">
      <c r="L579" s="33"/>
      <c r="M579" s="34"/>
      <c r="N579" t="str">
        <f t="shared" si="9"/>
        <v/>
      </c>
    </row>
    <row r="580" spans="12:14">
      <c r="L580" s="33"/>
      <c r="M580" s="34"/>
      <c r="N580" t="str">
        <f t="shared" si="9"/>
        <v/>
      </c>
    </row>
    <row r="581" spans="12:14">
      <c r="L581" s="33"/>
      <c r="M581" s="34"/>
      <c r="N581" t="str">
        <f t="shared" si="9"/>
        <v/>
      </c>
    </row>
    <row r="582" spans="12:14">
      <c r="L582" s="33"/>
      <c r="M582" s="34"/>
      <c r="N582" t="str">
        <f t="shared" si="9"/>
        <v/>
      </c>
    </row>
    <row r="583" spans="12:14">
      <c r="L583" s="33"/>
      <c r="M583" s="34"/>
      <c r="N583" t="str">
        <f t="shared" si="9"/>
        <v/>
      </c>
    </row>
    <row r="584" spans="12:14">
      <c r="L584" s="33"/>
      <c r="M584" s="34"/>
      <c r="N584" t="str">
        <f t="shared" si="9"/>
        <v/>
      </c>
    </row>
    <row r="585" spans="12:14">
      <c r="L585" s="33"/>
      <c r="M585" s="34"/>
      <c r="N585" t="str">
        <f t="shared" si="9"/>
        <v/>
      </c>
    </row>
    <row r="586" spans="12:14">
      <c r="L586" s="33"/>
      <c r="M586" s="34"/>
      <c r="N586" t="str">
        <f t="shared" si="9"/>
        <v/>
      </c>
    </row>
    <row r="587" spans="12:14">
      <c r="L587" s="33"/>
      <c r="M587" s="34"/>
      <c r="N587" t="str">
        <f t="shared" si="9"/>
        <v/>
      </c>
    </row>
    <row r="588" spans="12:14">
      <c r="L588" s="33"/>
      <c r="M588" s="34"/>
      <c r="N588" t="str">
        <f t="shared" si="9"/>
        <v/>
      </c>
    </row>
    <row r="589" spans="12:14">
      <c r="L589" s="33"/>
      <c r="M589" s="34"/>
      <c r="N589" t="str">
        <f t="shared" si="9"/>
        <v/>
      </c>
    </row>
    <row r="590" spans="12:14">
      <c r="L590" s="33"/>
      <c r="M590" s="34"/>
      <c r="N590" t="str">
        <f t="shared" si="9"/>
        <v/>
      </c>
    </row>
    <row r="591" spans="12:14">
      <c r="L591" s="33"/>
      <c r="M591" s="34"/>
      <c r="N591" t="str">
        <f t="shared" si="9"/>
        <v/>
      </c>
    </row>
    <row r="592" spans="12:14">
      <c r="L592" s="33"/>
      <c r="M592" s="34"/>
      <c r="N592" t="str">
        <f t="shared" si="9"/>
        <v/>
      </c>
    </row>
    <row r="593" spans="12:14">
      <c r="L593" s="33"/>
      <c r="M593" s="34"/>
      <c r="N593" t="str">
        <f t="shared" si="9"/>
        <v/>
      </c>
    </row>
    <row r="594" spans="12:14">
      <c r="L594" s="33"/>
      <c r="M594" s="34"/>
      <c r="N594" t="str">
        <f t="shared" si="9"/>
        <v/>
      </c>
    </row>
    <row r="595" spans="12:14">
      <c r="L595" s="33"/>
      <c r="M595" s="34"/>
      <c r="N595" t="str">
        <f t="shared" si="9"/>
        <v/>
      </c>
    </row>
    <row r="596" spans="12:14">
      <c r="L596" s="33"/>
      <c r="M596" s="34"/>
      <c r="N596" t="str">
        <f t="shared" si="9"/>
        <v/>
      </c>
    </row>
    <row r="597" spans="12:14">
      <c r="L597" s="33"/>
      <c r="M597" s="34"/>
      <c r="N597" t="str">
        <f t="shared" si="9"/>
        <v/>
      </c>
    </row>
    <row r="598" spans="12:14">
      <c r="L598" s="33"/>
      <c r="M598" s="34"/>
      <c r="N598" t="str">
        <f t="shared" si="9"/>
        <v/>
      </c>
    </row>
    <row r="599" spans="12:14">
      <c r="L599" s="33"/>
      <c r="M599" s="34"/>
      <c r="N599" t="str">
        <f t="shared" si="9"/>
        <v/>
      </c>
    </row>
    <row r="600" spans="12:14">
      <c r="L600" s="33"/>
      <c r="M600" s="34"/>
      <c r="N600" t="str">
        <f t="shared" si="9"/>
        <v/>
      </c>
    </row>
    <row r="601" spans="12:14">
      <c r="L601" s="33"/>
      <c r="M601" s="34"/>
      <c r="N601" t="str">
        <f t="shared" si="9"/>
        <v/>
      </c>
    </row>
    <row r="602" spans="12:14">
      <c r="L602" s="33"/>
      <c r="M602" s="34"/>
      <c r="N602" t="str">
        <f t="shared" si="9"/>
        <v/>
      </c>
    </row>
    <row r="603" spans="12:14">
      <c r="L603" s="33"/>
      <c r="M603" s="34"/>
      <c r="N603" t="str">
        <f t="shared" si="9"/>
        <v/>
      </c>
    </row>
    <row r="604" spans="12:14">
      <c r="L604" s="33"/>
      <c r="M604" s="34"/>
      <c r="N604" t="str">
        <f t="shared" si="9"/>
        <v/>
      </c>
    </row>
    <row r="605" spans="12:14">
      <c r="L605" s="33"/>
      <c r="M605" s="34"/>
      <c r="N605" t="str">
        <f t="shared" si="9"/>
        <v/>
      </c>
    </row>
    <row r="606" spans="12:14">
      <c r="L606" s="33"/>
      <c r="M606" s="34"/>
      <c r="N606" t="str">
        <f t="shared" si="9"/>
        <v/>
      </c>
    </row>
    <row r="607" spans="12:14">
      <c r="L607" s="33"/>
      <c r="M607" s="34"/>
      <c r="N607" t="str">
        <f t="shared" si="9"/>
        <v/>
      </c>
    </row>
    <row r="608" spans="12:14">
      <c r="L608" s="33"/>
      <c r="M608" s="34"/>
      <c r="N608" t="str">
        <f t="shared" si="9"/>
        <v/>
      </c>
    </row>
    <row r="609" spans="12:14">
      <c r="L609" s="33"/>
      <c r="M609" s="34"/>
      <c r="N609" t="str">
        <f t="shared" si="9"/>
        <v/>
      </c>
    </row>
    <row r="610" spans="12:14">
      <c r="L610" s="33"/>
      <c r="M610" s="34"/>
      <c r="N610" t="str">
        <f t="shared" si="9"/>
        <v/>
      </c>
    </row>
    <row r="611" spans="12:14">
      <c r="L611" s="33"/>
      <c r="M611" s="34"/>
      <c r="N611" t="str">
        <f t="shared" si="9"/>
        <v/>
      </c>
    </row>
    <row r="612" spans="12:14">
      <c r="L612" s="33"/>
      <c r="M612" s="34"/>
      <c r="N612" t="str">
        <f t="shared" si="9"/>
        <v/>
      </c>
    </row>
    <row r="613" spans="12:14">
      <c r="L613" s="33"/>
      <c r="M613" s="34"/>
      <c r="N613" t="str">
        <f t="shared" si="9"/>
        <v/>
      </c>
    </row>
    <row r="614" spans="12:14">
      <c r="L614" s="33"/>
      <c r="M614" s="34"/>
      <c r="N614" t="str">
        <f t="shared" si="9"/>
        <v/>
      </c>
    </row>
    <row r="615" spans="12:14">
      <c r="L615" s="33"/>
      <c r="M615" s="34"/>
      <c r="N615" t="str">
        <f t="shared" si="9"/>
        <v/>
      </c>
    </row>
    <row r="616" spans="12:14">
      <c r="L616" s="33"/>
      <c r="M616" s="34"/>
      <c r="N616" t="str">
        <f t="shared" si="9"/>
        <v/>
      </c>
    </row>
    <row r="617" spans="12:14">
      <c r="L617" s="33"/>
      <c r="M617" s="34"/>
      <c r="N617" t="str">
        <f t="shared" si="9"/>
        <v/>
      </c>
    </row>
    <row r="618" spans="12:14">
      <c r="L618" s="33"/>
      <c r="M618" s="34"/>
      <c r="N618" t="str">
        <f t="shared" si="9"/>
        <v/>
      </c>
    </row>
    <row r="619" spans="12:14">
      <c r="L619" s="33"/>
      <c r="M619" s="34"/>
      <c r="N619" t="str">
        <f t="shared" si="9"/>
        <v/>
      </c>
    </row>
    <row r="620" spans="12:14">
      <c r="L620" s="33"/>
      <c r="M620" s="34"/>
      <c r="N620" t="str">
        <f t="shared" si="9"/>
        <v/>
      </c>
    </row>
    <row r="621" spans="12:14">
      <c r="L621" s="33"/>
      <c r="M621" s="34"/>
      <c r="N621" t="str">
        <f t="shared" si="9"/>
        <v/>
      </c>
    </row>
    <row r="622" spans="12:14">
      <c r="L622" s="33"/>
      <c r="M622" s="34"/>
      <c r="N622" t="str">
        <f t="shared" si="9"/>
        <v/>
      </c>
    </row>
    <row r="623" spans="12:14">
      <c r="L623" s="33"/>
      <c r="M623" s="34"/>
      <c r="N623" t="str">
        <f t="shared" si="9"/>
        <v/>
      </c>
    </row>
    <row r="624" spans="12:14">
      <c r="L624" s="33"/>
      <c r="M624" s="34"/>
      <c r="N624" t="str">
        <f t="shared" si="9"/>
        <v/>
      </c>
    </row>
    <row r="625" spans="12:14">
      <c r="L625" s="33"/>
      <c r="M625" s="34"/>
      <c r="N625" t="str">
        <f t="shared" si="9"/>
        <v/>
      </c>
    </row>
    <row r="626" spans="12:14">
      <c r="L626" s="33"/>
      <c r="M626" s="34"/>
      <c r="N626" t="str">
        <f t="shared" si="9"/>
        <v/>
      </c>
    </row>
    <row r="627" spans="12:14">
      <c r="L627" s="33"/>
      <c r="M627" s="34"/>
      <c r="N627" t="str">
        <f t="shared" si="9"/>
        <v/>
      </c>
    </row>
    <row r="628" spans="12:14">
      <c r="L628" s="33"/>
      <c r="M628" s="34"/>
      <c r="N628" t="str">
        <f t="shared" si="9"/>
        <v/>
      </c>
    </row>
    <row r="629" spans="12:14">
      <c r="L629" s="33"/>
      <c r="M629" s="34"/>
      <c r="N629" t="str">
        <f t="shared" si="9"/>
        <v/>
      </c>
    </row>
    <row r="630" spans="12:14">
      <c r="L630" s="33"/>
      <c r="M630" s="34"/>
      <c r="N630" t="str">
        <f t="shared" si="9"/>
        <v/>
      </c>
    </row>
    <row r="631" spans="12:14">
      <c r="L631" s="33"/>
      <c r="M631" s="34"/>
      <c r="N631" t="str">
        <f t="shared" si="9"/>
        <v/>
      </c>
    </row>
    <row r="632" spans="12:14">
      <c r="L632" s="33"/>
      <c r="M632" s="34"/>
      <c r="N632" t="str">
        <f t="shared" si="9"/>
        <v/>
      </c>
    </row>
    <row r="633" spans="12:14">
      <c r="L633" s="33"/>
      <c r="M633" s="34"/>
      <c r="N633" t="str">
        <f t="shared" si="9"/>
        <v/>
      </c>
    </row>
    <row r="634" spans="12:14">
      <c r="L634" s="33"/>
      <c r="M634" s="34"/>
      <c r="N634" t="str">
        <f t="shared" si="9"/>
        <v/>
      </c>
    </row>
    <row r="635" spans="12:14">
      <c r="L635" s="33"/>
      <c r="M635" s="34"/>
      <c r="N635" t="str">
        <f t="shared" si="9"/>
        <v/>
      </c>
    </row>
    <row r="636" spans="12:14">
      <c r="L636" s="33"/>
      <c r="M636" s="34"/>
      <c r="N636" t="str">
        <f t="shared" si="9"/>
        <v/>
      </c>
    </row>
    <row r="637" spans="12:14">
      <c r="L637" s="33"/>
      <c r="M637" s="34"/>
      <c r="N637" t="str">
        <f t="shared" si="9"/>
        <v/>
      </c>
    </row>
    <row r="638" spans="12:14">
      <c r="L638" s="33"/>
      <c r="M638" s="34"/>
      <c r="N638" t="str">
        <f t="shared" si="9"/>
        <v/>
      </c>
    </row>
    <row r="639" spans="12:14">
      <c r="L639" s="33"/>
      <c r="M639" s="34"/>
      <c r="N639" t="str">
        <f t="shared" si="9"/>
        <v/>
      </c>
    </row>
    <row r="640" spans="12:14">
      <c r="L640" s="33"/>
      <c r="M640" s="34"/>
      <c r="N640" t="str">
        <f t="shared" si="9"/>
        <v/>
      </c>
    </row>
    <row r="641" spans="12:14">
      <c r="L641" s="33"/>
      <c r="M641" s="34"/>
      <c r="N641" t="str">
        <f t="shared" si="9"/>
        <v/>
      </c>
    </row>
    <row r="642" spans="12:14">
      <c r="L642" s="33"/>
      <c r="M642" s="34"/>
      <c r="N642" t="str">
        <f t="shared" ref="N642:N705" si="10">IFERROR(VALUE(MID(E642,3,5)),"")</f>
        <v/>
      </c>
    </row>
    <row r="643" spans="12:14">
      <c r="L643" s="33"/>
      <c r="M643" s="34"/>
      <c r="N643" t="str">
        <f t="shared" si="10"/>
        <v/>
      </c>
    </row>
    <row r="644" spans="12:14">
      <c r="L644" s="33"/>
      <c r="M644" s="34"/>
      <c r="N644" t="str">
        <f t="shared" si="10"/>
        <v/>
      </c>
    </row>
    <row r="645" spans="12:14">
      <c r="L645" s="33"/>
      <c r="M645" s="34"/>
      <c r="N645" t="str">
        <f t="shared" si="10"/>
        <v/>
      </c>
    </row>
    <row r="646" spans="12:14">
      <c r="L646" s="33"/>
      <c r="M646" s="34"/>
      <c r="N646" t="str">
        <f t="shared" si="10"/>
        <v/>
      </c>
    </row>
    <row r="647" spans="12:14">
      <c r="L647" s="33"/>
      <c r="M647" s="34"/>
      <c r="N647" t="str">
        <f t="shared" si="10"/>
        <v/>
      </c>
    </row>
    <row r="648" spans="12:14">
      <c r="L648" s="33"/>
      <c r="M648" s="34"/>
      <c r="N648" t="str">
        <f t="shared" si="10"/>
        <v/>
      </c>
    </row>
    <row r="649" spans="12:14">
      <c r="L649" s="33"/>
      <c r="M649" s="34"/>
      <c r="N649" t="str">
        <f t="shared" si="10"/>
        <v/>
      </c>
    </row>
    <row r="650" spans="12:14">
      <c r="L650" s="33"/>
      <c r="M650" s="34"/>
      <c r="N650" t="str">
        <f t="shared" si="10"/>
        <v/>
      </c>
    </row>
    <row r="651" spans="12:14">
      <c r="L651" s="33"/>
      <c r="M651" s="34"/>
      <c r="N651" t="str">
        <f t="shared" si="10"/>
        <v/>
      </c>
    </row>
    <row r="652" spans="12:14">
      <c r="L652" s="33"/>
      <c r="M652" s="34"/>
      <c r="N652" t="str">
        <f t="shared" si="10"/>
        <v/>
      </c>
    </row>
    <row r="653" spans="12:14">
      <c r="L653" s="33"/>
      <c r="M653" s="34"/>
      <c r="N653" t="str">
        <f t="shared" si="10"/>
        <v/>
      </c>
    </row>
    <row r="654" spans="12:14">
      <c r="L654" s="33"/>
      <c r="M654" s="34"/>
      <c r="N654" t="str">
        <f t="shared" si="10"/>
        <v/>
      </c>
    </row>
    <row r="655" spans="12:14">
      <c r="L655" s="33"/>
      <c r="M655" s="34"/>
      <c r="N655" t="str">
        <f t="shared" si="10"/>
        <v/>
      </c>
    </row>
    <row r="656" spans="12:14">
      <c r="L656" s="33"/>
      <c r="M656" s="34"/>
      <c r="N656" t="str">
        <f t="shared" si="10"/>
        <v/>
      </c>
    </row>
    <row r="657" spans="12:14">
      <c r="L657" s="33"/>
      <c r="M657" s="34"/>
      <c r="N657" t="str">
        <f t="shared" si="10"/>
        <v/>
      </c>
    </row>
    <row r="658" spans="12:14">
      <c r="L658" s="33"/>
      <c r="M658" s="34"/>
      <c r="N658" t="str">
        <f t="shared" si="10"/>
        <v/>
      </c>
    </row>
    <row r="659" spans="12:14">
      <c r="L659" s="33"/>
      <c r="M659" s="34"/>
      <c r="N659" t="str">
        <f t="shared" si="10"/>
        <v/>
      </c>
    </row>
    <row r="660" spans="12:14">
      <c r="L660" s="33"/>
      <c r="M660" s="34"/>
      <c r="N660" t="str">
        <f t="shared" si="10"/>
        <v/>
      </c>
    </row>
    <row r="661" spans="12:14">
      <c r="L661" s="33"/>
      <c r="M661" s="34"/>
      <c r="N661" t="str">
        <f t="shared" si="10"/>
        <v/>
      </c>
    </row>
    <row r="662" spans="12:14">
      <c r="L662" s="33"/>
      <c r="M662" s="34"/>
      <c r="N662" t="str">
        <f t="shared" si="10"/>
        <v/>
      </c>
    </row>
    <row r="663" spans="12:14">
      <c r="L663" s="33"/>
      <c r="M663" s="34"/>
      <c r="N663" t="str">
        <f t="shared" si="10"/>
        <v/>
      </c>
    </row>
    <row r="664" spans="12:14">
      <c r="L664" s="33"/>
      <c r="M664" s="34"/>
      <c r="N664" t="str">
        <f t="shared" si="10"/>
        <v/>
      </c>
    </row>
    <row r="665" spans="12:14">
      <c r="L665" s="33"/>
      <c r="M665" s="34"/>
      <c r="N665" t="str">
        <f t="shared" si="10"/>
        <v/>
      </c>
    </row>
    <row r="666" spans="12:14">
      <c r="L666" s="33"/>
      <c r="M666" s="34"/>
      <c r="N666" t="str">
        <f t="shared" si="10"/>
        <v/>
      </c>
    </row>
    <row r="667" spans="12:14">
      <c r="L667" s="33"/>
      <c r="M667" s="34"/>
      <c r="N667" t="str">
        <f t="shared" si="10"/>
        <v/>
      </c>
    </row>
    <row r="668" spans="12:14">
      <c r="L668" s="33"/>
      <c r="M668" s="34"/>
      <c r="N668" t="str">
        <f t="shared" si="10"/>
        <v/>
      </c>
    </row>
    <row r="669" spans="12:14">
      <c r="L669" s="33"/>
      <c r="M669" s="34"/>
      <c r="N669" t="str">
        <f t="shared" si="10"/>
        <v/>
      </c>
    </row>
    <row r="670" spans="12:14">
      <c r="L670" s="33"/>
      <c r="M670" s="34"/>
      <c r="N670" t="str">
        <f t="shared" si="10"/>
        <v/>
      </c>
    </row>
    <row r="671" spans="12:14">
      <c r="L671" s="33"/>
      <c r="M671" s="34"/>
      <c r="N671" t="str">
        <f t="shared" si="10"/>
        <v/>
      </c>
    </row>
    <row r="672" spans="12:14">
      <c r="L672" s="33"/>
      <c r="M672" s="34"/>
      <c r="N672" t="str">
        <f t="shared" si="10"/>
        <v/>
      </c>
    </row>
    <row r="673" spans="12:14">
      <c r="L673" s="33"/>
      <c r="M673" s="34"/>
      <c r="N673" t="str">
        <f t="shared" si="10"/>
        <v/>
      </c>
    </row>
    <row r="674" spans="12:14">
      <c r="L674" s="33"/>
      <c r="M674" s="34"/>
      <c r="N674" t="str">
        <f t="shared" si="10"/>
        <v/>
      </c>
    </row>
    <row r="675" spans="12:14">
      <c r="L675" s="33"/>
      <c r="M675" s="34"/>
      <c r="N675" t="str">
        <f t="shared" si="10"/>
        <v/>
      </c>
    </row>
    <row r="676" spans="12:14">
      <c r="L676" s="33"/>
      <c r="M676" s="34"/>
      <c r="N676" t="str">
        <f t="shared" si="10"/>
        <v/>
      </c>
    </row>
    <row r="677" spans="12:14">
      <c r="L677" s="33"/>
      <c r="M677" s="34"/>
      <c r="N677" t="str">
        <f t="shared" si="10"/>
        <v/>
      </c>
    </row>
    <row r="678" spans="12:14">
      <c r="L678" s="33"/>
      <c r="M678" s="34"/>
      <c r="N678" t="str">
        <f t="shared" si="10"/>
        <v/>
      </c>
    </row>
    <row r="679" spans="12:14">
      <c r="L679" s="33"/>
      <c r="M679" s="34"/>
      <c r="N679" t="str">
        <f t="shared" si="10"/>
        <v/>
      </c>
    </row>
    <row r="680" spans="12:14">
      <c r="L680" s="33"/>
      <c r="M680" s="34"/>
      <c r="N680" t="str">
        <f t="shared" si="10"/>
        <v/>
      </c>
    </row>
    <row r="681" spans="12:14">
      <c r="L681" s="33"/>
      <c r="M681" s="34"/>
      <c r="N681" t="str">
        <f t="shared" si="10"/>
        <v/>
      </c>
    </row>
    <row r="682" spans="12:14">
      <c r="L682" s="33"/>
      <c r="M682" s="34"/>
      <c r="N682" t="str">
        <f t="shared" si="10"/>
        <v/>
      </c>
    </row>
    <row r="683" spans="12:14">
      <c r="L683" s="33"/>
      <c r="M683" s="34"/>
      <c r="N683" t="str">
        <f t="shared" si="10"/>
        <v/>
      </c>
    </row>
    <row r="684" spans="12:14">
      <c r="L684" s="33"/>
      <c r="M684" s="34"/>
      <c r="N684" t="str">
        <f t="shared" si="10"/>
        <v/>
      </c>
    </row>
    <row r="685" spans="12:14">
      <c r="L685" s="33"/>
      <c r="M685" s="34"/>
      <c r="N685" t="str">
        <f t="shared" si="10"/>
        <v/>
      </c>
    </row>
    <row r="686" spans="12:14">
      <c r="L686" s="33"/>
      <c r="M686" s="34"/>
      <c r="N686" t="str">
        <f t="shared" si="10"/>
        <v/>
      </c>
    </row>
    <row r="687" spans="12:14">
      <c r="L687" s="33"/>
      <c r="M687" s="34"/>
      <c r="N687" t="str">
        <f t="shared" si="10"/>
        <v/>
      </c>
    </row>
    <row r="688" spans="12:14">
      <c r="L688" s="33"/>
      <c r="M688" s="34"/>
      <c r="N688" t="str">
        <f t="shared" si="10"/>
        <v/>
      </c>
    </row>
    <row r="689" spans="12:14">
      <c r="L689" s="33"/>
      <c r="M689" s="34"/>
      <c r="N689" t="str">
        <f t="shared" si="10"/>
        <v/>
      </c>
    </row>
    <row r="690" spans="12:14">
      <c r="L690" s="33"/>
      <c r="M690" s="34"/>
      <c r="N690" t="str">
        <f t="shared" si="10"/>
        <v/>
      </c>
    </row>
    <row r="691" spans="12:14">
      <c r="L691" s="33"/>
      <c r="M691" s="34"/>
      <c r="N691" t="str">
        <f t="shared" si="10"/>
        <v/>
      </c>
    </row>
    <row r="692" spans="12:14">
      <c r="L692" s="33"/>
      <c r="M692" s="34"/>
      <c r="N692" t="str">
        <f t="shared" si="10"/>
        <v/>
      </c>
    </row>
    <row r="693" spans="12:14">
      <c r="L693" s="33"/>
      <c r="M693" s="34"/>
      <c r="N693" t="str">
        <f t="shared" si="10"/>
        <v/>
      </c>
    </row>
    <row r="694" spans="12:14">
      <c r="L694" s="33"/>
      <c r="M694" s="34"/>
      <c r="N694" t="str">
        <f t="shared" si="10"/>
        <v/>
      </c>
    </row>
    <row r="695" spans="12:14">
      <c r="L695" s="33"/>
      <c r="M695" s="34"/>
      <c r="N695" t="str">
        <f t="shared" si="10"/>
        <v/>
      </c>
    </row>
    <row r="696" spans="12:14">
      <c r="L696" s="33"/>
      <c r="M696" s="34"/>
      <c r="N696" t="str">
        <f t="shared" si="10"/>
        <v/>
      </c>
    </row>
    <row r="697" spans="12:14">
      <c r="L697" s="33"/>
      <c r="M697" s="34"/>
      <c r="N697" t="str">
        <f t="shared" si="10"/>
        <v/>
      </c>
    </row>
    <row r="698" spans="12:14">
      <c r="L698" s="33"/>
      <c r="M698" s="34"/>
      <c r="N698" t="str">
        <f t="shared" si="10"/>
        <v/>
      </c>
    </row>
    <row r="699" spans="12:14">
      <c r="L699" s="33"/>
      <c r="M699" s="34"/>
      <c r="N699" t="str">
        <f t="shared" si="10"/>
        <v/>
      </c>
    </row>
    <row r="700" spans="12:14">
      <c r="L700" s="33"/>
      <c r="M700" s="34"/>
      <c r="N700" t="str">
        <f t="shared" si="10"/>
        <v/>
      </c>
    </row>
    <row r="701" spans="12:14">
      <c r="L701" s="33"/>
      <c r="M701" s="34"/>
      <c r="N701" t="str">
        <f t="shared" si="10"/>
        <v/>
      </c>
    </row>
    <row r="702" spans="12:14">
      <c r="L702" s="33"/>
      <c r="M702" s="34"/>
      <c r="N702" t="str">
        <f t="shared" si="10"/>
        <v/>
      </c>
    </row>
    <row r="703" spans="12:14">
      <c r="L703" s="33"/>
      <c r="M703" s="34"/>
      <c r="N703" t="str">
        <f t="shared" si="10"/>
        <v/>
      </c>
    </row>
    <row r="704" spans="12:14">
      <c r="L704" s="33"/>
      <c r="M704" s="34"/>
      <c r="N704" t="str">
        <f t="shared" si="10"/>
        <v/>
      </c>
    </row>
    <row r="705" spans="12:14">
      <c r="L705" s="33"/>
      <c r="M705" s="34"/>
      <c r="N705" t="str">
        <f t="shared" si="10"/>
        <v/>
      </c>
    </row>
    <row r="706" spans="12:14">
      <c r="L706" s="33"/>
      <c r="M706" s="34"/>
      <c r="N706" t="str">
        <f t="shared" ref="N706:N769" si="11">IFERROR(VALUE(MID(E706,3,5)),"")</f>
        <v/>
      </c>
    </row>
    <row r="707" spans="12:14">
      <c r="L707" s="33"/>
      <c r="M707" s="34"/>
      <c r="N707" t="str">
        <f t="shared" si="11"/>
        <v/>
      </c>
    </row>
    <row r="708" spans="12:14">
      <c r="L708" s="33"/>
      <c r="M708" s="34"/>
      <c r="N708" t="str">
        <f t="shared" si="11"/>
        <v/>
      </c>
    </row>
    <row r="709" spans="12:14">
      <c r="L709" s="33"/>
      <c r="M709" s="34"/>
      <c r="N709" t="str">
        <f t="shared" si="11"/>
        <v/>
      </c>
    </row>
    <row r="710" spans="12:14">
      <c r="L710" s="33"/>
      <c r="M710" s="34"/>
      <c r="N710" t="str">
        <f t="shared" si="11"/>
        <v/>
      </c>
    </row>
    <row r="711" spans="12:14">
      <c r="L711" s="33"/>
      <c r="M711" s="34"/>
      <c r="N711" t="str">
        <f t="shared" si="11"/>
        <v/>
      </c>
    </row>
    <row r="712" spans="12:14">
      <c r="L712" s="33"/>
      <c r="M712" s="34"/>
      <c r="N712" t="str">
        <f t="shared" si="11"/>
        <v/>
      </c>
    </row>
    <row r="713" spans="12:14">
      <c r="L713" s="33"/>
      <c r="M713" s="34"/>
      <c r="N713" t="str">
        <f t="shared" si="11"/>
        <v/>
      </c>
    </row>
    <row r="714" spans="12:14">
      <c r="L714" s="33"/>
      <c r="M714" s="34"/>
      <c r="N714" t="str">
        <f t="shared" si="11"/>
        <v/>
      </c>
    </row>
    <row r="715" spans="12:14">
      <c r="L715" s="33"/>
      <c r="M715" s="34"/>
      <c r="N715" t="str">
        <f t="shared" si="11"/>
        <v/>
      </c>
    </row>
    <row r="716" spans="12:14">
      <c r="L716" s="33"/>
      <c r="M716" s="34"/>
      <c r="N716" t="str">
        <f t="shared" si="11"/>
        <v/>
      </c>
    </row>
    <row r="717" spans="12:14">
      <c r="L717" s="33"/>
      <c r="M717" s="34"/>
      <c r="N717" t="str">
        <f t="shared" si="11"/>
        <v/>
      </c>
    </row>
    <row r="718" spans="12:14">
      <c r="L718" s="33"/>
      <c r="M718" s="34"/>
      <c r="N718" t="str">
        <f t="shared" si="11"/>
        <v/>
      </c>
    </row>
    <row r="719" spans="12:14">
      <c r="L719" s="33"/>
      <c r="M719" s="34"/>
      <c r="N719" t="str">
        <f t="shared" si="11"/>
        <v/>
      </c>
    </row>
    <row r="720" spans="12:14">
      <c r="L720" s="33"/>
      <c r="M720" s="34"/>
      <c r="N720" t="str">
        <f t="shared" si="11"/>
        <v/>
      </c>
    </row>
    <row r="721" spans="12:14">
      <c r="L721" s="33"/>
      <c r="M721" s="34"/>
      <c r="N721" t="str">
        <f t="shared" si="11"/>
        <v/>
      </c>
    </row>
    <row r="722" spans="12:14">
      <c r="L722" s="33"/>
      <c r="M722" s="34"/>
      <c r="N722" t="str">
        <f t="shared" si="11"/>
        <v/>
      </c>
    </row>
    <row r="723" spans="12:14">
      <c r="L723" s="33"/>
      <c r="M723" s="34"/>
      <c r="N723" t="str">
        <f t="shared" si="11"/>
        <v/>
      </c>
    </row>
    <row r="724" spans="12:14">
      <c r="L724" s="33"/>
      <c r="M724" s="34"/>
      <c r="N724" t="str">
        <f t="shared" si="11"/>
        <v/>
      </c>
    </row>
    <row r="725" spans="12:14">
      <c r="L725" s="33"/>
      <c r="M725" s="34"/>
      <c r="N725" t="str">
        <f t="shared" si="11"/>
        <v/>
      </c>
    </row>
    <row r="726" spans="12:14">
      <c r="L726" s="33"/>
      <c r="M726" s="34"/>
      <c r="N726" t="str">
        <f t="shared" si="11"/>
        <v/>
      </c>
    </row>
    <row r="727" spans="12:14">
      <c r="L727" s="33"/>
      <c r="M727" s="34"/>
      <c r="N727" t="str">
        <f t="shared" si="11"/>
        <v/>
      </c>
    </row>
    <row r="728" spans="12:14">
      <c r="L728" s="33"/>
      <c r="M728" s="34"/>
      <c r="N728" t="str">
        <f t="shared" si="11"/>
        <v/>
      </c>
    </row>
    <row r="729" spans="12:14">
      <c r="L729" s="33"/>
      <c r="M729" s="34"/>
      <c r="N729" t="str">
        <f t="shared" si="11"/>
        <v/>
      </c>
    </row>
    <row r="730" spans="12:14">
      <c r="L730" s="33"/>
      <c r="M730" s="34"/>
      <c r="N730" t="str">
        <f t="shared" si="11"/>
        <v/>
      </c>
    </row>
    <row r="731" spans="12:14">
      <c r="L731" s="33"/>
      <c r="M731" s="34"/>
      <c r="N731" t="str">
        <f t="shared" si="11"/>
        <v/>
      </c>
    </row>
    <row r="732" spans="12:14">
      <c r="L732" s="33"/>
      <c r="M732" s="34"/>
      <c r="N732" t="str">
        <f t="shared" si="11"/>
        <v/>
      </c>
    </row>
    <row r="733" spans="12:14">
      <c r="L733" s="33"/>
      <c r="M733" s="34"/>
      <c r="N733" t="str">
        <f t="shared" si="11"/>
        <v/>
      </c>
    </row>
    <row r="734" spans="12:14">
      <c r="L734" s="33"/>
      <c r="M734" s="34"/>
      <c r="N734" t="str">
        <f t="shared" si="11"/>
        <v/>
      </c>
    </row>
    <row r="735" spans="12:14">
      <c r="L735" s="33"/>
      <c r="M735" s="34"/>
      <c r="N735" t="str">
        <f t="shared" si="11"/>
        <v/>
      </c>
    </row>
    <row r="736" spans="12:14">
      <c r="L736" s="33"/>
      <c r="M736" s="34"/>
      <c r="N736" t="str">
        <f t="shared" si="11"/>
        <v/>
      </c>
    </row>
    <row r="737" spans="12:14">
      <c r="L737" s="33"/>
      <c r="M737" s="34"/>
      <c r="N737" t="str">
        <f t="shared" si="11"/>
        <v/>
      </c>
    </row>
    <row r="738" spans="12:14">
      <c r="L738" s="33"/>
      <c r="M738" s="34"/>
      <c r="N738" t="str">
        <f t="shared" si="11"/>
        <v/>
      </c>
    </row>
    <row r="739" spans="12:14">
      <c r="L739" s="33"/>
      <c r="M739" s="34"/>
      <c r="N739" t="str">
        <f t="shared" si="11"/>
        <v/>
      </c>
    </row>
    <row r="740" spans="12:14">
      <c r="L740" s="33"/>
      <c r="M740" s="34"/>
      <c r="N740" t="str">
        <f t="shared" si="11"/>
        <v/>
      </c>
    </row>
    <row r="741" spans="12:14">
      <c r="L741" s="33"/>
      <c r="M741" s="34"/>
      <c r="N741" t="str">
        <f t="shared" si="11"/>
        <v/>
      </c>
    </row>
    <row r="742" spans="12:14">
      <c r="L742" s="33"/>
      <c r="M742" s="34"/>
      <c r="N742" t="str">
        <f t="shared" si="11"/>
        <v/>
      </c>
    </row>
    <row r="743" spans="12:14">
      <c r="L743" s="33"/>
      <c r="M743" s="34"/>
      <c r="N743" t="str">
        <f t="shared" si="11"/>
        <v/>
      </c>
    </row>
    <row r="744" spans="12:14">
      <c r="L744" s="33"/>
      <c r="M744" s="34"/>
      <c r="N744" t="str">
        <f t="shared" si="11"/>
        <v/>
      </c>
    </row>
    <row r="745" spans="12:14">
      <c r="L745" s="33"/>
      <c r="M745" s="34"/>
      <c r="N745" t="str">
        <f t="shared" si="11"/>
        <v/>
      </c>
    </row>
    <row r="746" spans="12:14">
      <c r="L746" s="33"/>
      <c r="M746" s="34"/>
      <c r="N746" t="str">
        <f t="shared" si="11"/>
        <v/>
      </c>
    </row>
    <row r="747" spans="12:14">
      <c r="L747" s="33"/>
      <c r="M747" s="34"/>
      <c r="N747" t="str">
        <f t="shared" si="11"/>
        <v/>
      </c>
    </row>
    <row r="748" spans="12:14">
      <c r="L748" s="33"/>
      <c r="M748" s="34"/>
      <c r="N748" t="str">
        <f t="shared" si="11"/>
        <v/>
      </c>
    </row>
    <row r="749" spans="12:14">
      <c r="L749" s="33"/>
      <c r="M749" s="34"/>
      <c r="N749" t="str">
        <f t="shared" si="11"/>
        <v/>
      </c>
    </row>
    <row r="750" spans="12:14">
      <c r="L750" s="33"/>
      <c r="M750" s="34"/>
      <c r="N750" t="str">
        <f t="shared" si="11"/>
        <v/>
      </c>
    </row>
    <row r="751" spans="12:14">
      <c r="L751" s="33"/>
      <c r="M751" s="34"/>
      <c r="N751" t="str">
        <f t="shared" si="11"/>
        <v/>
      </c>
    </row>
    <row r="752" spans="12:14">
      <c r="L752" s="33"/>
      <c r="M752" s="34"/>
      <c r="N752" t="str">
        <f t="shared" si="11"/>
        <v/>
      </c>
    </row>
    <row r="753" spans="12:14">
      <c r="L753" s="33"/>
      <c r="M753" s="34"/>
      <c r="N753" t="str">
        <f t="shared" si="11"/>
        <v/>
      </c>
    </row>
    <row r="754" spans="12:14">
      <c r="L754" s="33"/>
      <c r="M754" s="34"/>
      <c r="N754" t="str">
        <f t="shared" si="11"/>
        <v/>
      </c>
    </row>
    <row r="755" spans="12:14">
      <c r="L755" s="33"/>
      <c r="M755" s="34"/>
      <c r="N755" t="str">
        <f t="shared" si="11"/>
        <v/>
      </c>
    </row>
    <row r="756" spans="12:14">
      <c r="L756" s="33"/>
      <c r="M756" s="34"/>
      <c r="N756" t="str">
        <f t="shared" si="11"/>
        <v/>
      </c>
    </row>
    <row r="757" spans="12:14">
      <c r="L757" s="33"/>
      <c r="M757" s="34"/>
      <c r="N757" t="str">
        <f t="shared" si="11"/>
        <v/>
      </c>
    </row>
    <row r="758" spans="12:14">
      <c r="L758" s="33"/>
      <c r="M758" s="34"/>
      <c r="N758" t="str">
        <f t="shared" si="11"/>
        <v/>
      </c>
    </row>
    <row r="759" spans="12:14">
      <c r="L759" s="33"/>
      <c r="M759" s="34"/>
      <c r="N759" t="str">
        <f t="shared" si="11"/>
        <v/>
      </c>
    </row>
    <row r="760" spans="12:14">
      <c r="L760" s="33"/>
      <c r="M760" s="34"/>
      <c r="N760" t="str">
        <f t="shared" si="11"/>
        <v/>
      </c>
    </row>
    <row r="761" spans="12:14">
      <c r="L761" s="33"/>
      <c r="M761" s="34"/>
      <c r="N761" t="str">
        <f t="shared" si="11"/>
        <v/>
      </c>
    </row>
    <row r="762" spans="12:14">
      <c r="L762" s="33"/>
      <c r="M762" s="34"/>
      <c r="N762" t="str">
        <f t="shared" si="11"/>
        <v/>
      </c>
    </row>
    <row r="763" spans="12:14">
      <c r="L763" s="33"/>
      <c r="M763" s="34"/>
      <c r="N763" t="str">
        <f t="shared" si="11"/>
        <v/>
      </c>
    </row>
    <row r="764" spans="12:14">
      <c r="L764" s="33"/>
      <c r="M764" s="34"/>
      <c r="N764" t="str">
        <f t="shared" si="11"/>
        <v/>
      </c>
    </row>
    <row r="765" spans="12:14">
      <c r="L765" s="33"/>
      <c r="M765" s="34"/>
      <c r="N765" t="str">
        <f t="shared" si="11"/>
        <v/>
      </c>
    </row>
    <row r="766" spans="12:14">
      <c r="L766" s="33"/>
      <c r="M766" s="34"/>
      <c r="N766" t="str">
        <f t="shared" si="11"/>
        <v/>
      </c>
    </row>
    <row r="767" spans="12:14">
      <c r="L767" s="33"/>
      <c r="M767" s="34"/>
      <c r="N767" t="str">
        <f t="shared" si="11"/>
        <v/>
      </c>
    </row>
    <row r="768" spans="12:14">
      <c r="L768" s="33"/>
      <c r="M768" s="34"/>
      <c r="N768" t="str">
        <f t="shared" si="11"/>
        <v/>
      </c>
    </row>
    <row r="769" spans="12:14">
      <c r="L769" s="33"/>
      <c r="M769" s="34"/>
      <c r="N769" t="str">
        <f t="shared" si="11"/>
        <v/>
      </c>
    </row>
    <row r="770" spans="12:14">
      <c r="L770" s="33"/>
      <c r="M770" s="34"/>
      <c r="N770" t="str">
        <f t="shared" ref="N770:N833" si="12">IFERROR(VALUE(MID(E770,3,5)),"")</f>
        <v/>
      </c>
    </row>
    <row r="771" spans="12:14">
      <c r="L771" s="33"/>
      <c r="M771" s="34"/>
      <c r="N771" t="str">
        <f t="shared" si="12"/>
        <v/>
      </c>
    </row>
    <row r="772" spans="12:14">
      <c r="L772" s="33"/>
      <c r="M772" s="34"/>
      <c r="N772" t="str">
        <f t="shared" si="12"/>
        <v/>
      </c>
    </row>
    <row r="773" spans="12:14">
      <c r="L773" s="33"/>
      <c r="M773" s="34"/>
      <c r="N773" t="str">
        <f t="shared" si="12"/>
        <v/>
      </c>
    </row>
    <row r="774" spans="12:14">
      <c r="L774" s="33"/>
      <c r="M774" s="34"/>
      <c r="N774" t="str">
        <f t="shared" si="12"/>
        <v/>
      </c>
    </row>
    <row r="775" spans="12:14">
      <c r="L775" s="33"/>
      <c r="M775" s="34"/>
      <c r="N775" t="str">
        <f t="shared" si="12"/>
        <v/>
      </c>
    </row>
    <row r="776" spans="12:14">
      <c r="L776" s="33"/>
      <c r="M776" s="34"/>
      <c r="N776" t="str">
        <f t="shared" si="12"/>
        <v/>
      </c>
    </row>
    <row r="777" spans="12:14">
      <c r="L777" s="33"/>
      <c r="M777" s="34"/>
      <c r="N777" t="str">
        <f t="shared" si="12"/>
        <v/>
      </c>
    </row>
    <row r="778" spans="12:14">
      <c r="L778" s="33"/>
      <c r="M778" s="34"/>
      <c r="N778" t="str">
        <f t="shared" si="12"/>
        <v/>
      </c>
    </row>
    <row r="779" spans="12:14">
      <c r="L779" s="33"/>
      <c r="M779" s="34"/>
      <c r="N779" t="str">
        <f t="shared" si="12"/>
        <v/>
      </c>
    </row>
    <row r="780" spans="12:14">
      <c r="L780" s="33"/>
      <c r="M780" s="34"/>
      <c r="N780" t="str">
        <f t="shared" si="12"/>
        <v/>
      </c>
    </row>
    <row r="781" spans="12:14">
      <c r="L781" s="33"/>
      <c r="M781" s="34"/>
      <c r="N781" t="str">
        <f t="shared" si="12"/>
        <v/>
      </c>
    </row>
    <row r="782" spans="12:14">
      <c r="L782" s="33"/>
      <c r="M782" s="34"/>
      <c r="N782" t="str">
        <f t="shared" si="12"/>
        <v/>
      </c>
    </row>
    <row r="783" spans="12:14">
      <c r="L783" s="33"/>
      <c r="M783" s="34"/>
      <c r="N783" t="str">
        <f t="shared" si="12"/>
        <v/>
      </c>
    </row>
    <row r="784" spans="12:14">
      <c r="L784" s="33"/>
      <c r="M784" s="34"/>
      <c r="N784" t="str">
        <f t="shared" si="12"/>
        <v/>
      </c>
    </row>
    <row r="785" spans="12:14">
      <c r="L785" s="33"/>
      <c r="M785" s="34"/>
      <c r="N785" t="str">
        <f t="shared" si="12"/>
        <v/>
      </c>
    </row>
    <row r="786" spans="12:14">
      <c r="L786" s="33"/>
      <c r="M786" s="34"/>
      <c r="N786" t="str">
        <f t="shared" si="12"/>
        <v/>
      </c>
    </row>
    <row r="787" spans="12:14">
      <c r="L787" s="33"/>
      <c r="M787" s="34"/>
      <c r="N787" t="str">
        <f t="shared" si="12"/>
        <v/>
      </c>
    </row>
    <row r="788" spans="12:14">
      <c r="L788" s="33"/>
      <c r="M788" s="34"/>
      <c r="N788" t="str">
        <f t="shared" si="12"/>
        <v/>
      </c>
    </row>
    <row r="789" spans="12:14">
      <c r="L789" s="33"/>
      <c r="M789" s="34"/>
      <c r="N789" t="str">
        <f t="shared" si="12"/>
        <v/>
      </c>
    </row>
    <row r="790" spans="12:14">
      <c r="L790" s="33"/>
      <c r="M790" s="34"/>
      <c r="N790" t="str">
        <f t="shared" si="12"/>
        <v/>
      </c>
    </row>
    <row r="791" spans="12:14">
      <c r="L791" s="33"/>
      <c r="M791" s="34"/>
      <c r="N791" t="str">
        <f t="shared" si="12"/>
        <v/>
      </c>
    </row>
    <row r="792" spans="12:14">
      <c r="L792" s="33"/>
      <c r="M792" s="34"/>
      <c r="N792" t="str">
        <f t="shared" si="12"/>
        <v/>
      </c>
    </row>
    <row r="793" spans="12:14">
      <c r="L793" s="33"/>
      <c r="M793" s="34"/>
      <c r="N793" t="str">
        <f t="shared" si="12"/>
        <v/>
      </c>
    </row>
    <row r="794" spans="12:14">
      <c r="L794" s="33"/>
      <c r="M794" s="34"/>
      <c r="N794" t="str">
        <f t="shared" si="12"/>
        <v/>
      </c>
    </row>
    <row r="795" spans="12:14">
      <c r="L795" s="33"/>
      <c r="M795" s="34"/>
      <c r="N795" t="str">
        <f t="shared" si="12"/>
        <v/>
      </c>
    </row>
    <row r="796" spans="12:14">
      <c r="L796" s="33"/>
      <c r="M796" s="34"/>
      <c r="N796" t="str">
        <f t="shared" si="12"/>
        <v/>
      </c>
    </row>
    <row r="797" spans="12:14">
      <c r="L797" s="33"/>
      <c r="M797" s="34"/>
      <c r="N797" t="str">
        <f t="shared" si="12"/>
        <v/>
      </c>
    </row>
    <row r="798" spans="12:14">
      <c r="L798" s="33"/>
      <c r="M798" s="34"/>
      <c r="N798" t="str">
        <f t="shared" si="12"/>
        <v/>
      </c>
    </row>
    <row r="799" spans="12:14">
      <c r="L799" s="33"/>
      <c r="M799" s="34"/>
      <c r="N799" t="str">
        <f t="shared" si="12"/>
        <v/>
      </c>
    </row>
    <row r="800" spans="12:14">
      <c r="L800" s="33"/>
      <c r="M800" s="34"/>
      <c r="N800" t="str">
        <f t="shared" si="12"/>
        <v/>
      </c>
    </row>
    <row r="801" spans="12:14">
      <c r="L801" s="33"/>
      <c r="M801" s="34"/>
      <c r="N801" t="str">
        <f t="shared" si="12"/>
        <v/>
      </c>
    </row>
    <row r="802" spans="12:14">
      <c r="L802" s="33"/>
      <c r="M802" s="34"/>
      <c r="N802" t="str">
        <f t="shared" si="12"/>
        <v/>
      </c>
    </row>
    <row r="803" spans="12:14">
      <c r="L803" s="33"/>
      <c r="M803" s="34"/>
      <c r="N803" t="str">
        <f t="shared" si="12"/>
        <v/>
      </c>
    </row>
    <row r="804" spans="12:14">
      <c r="L804" s="33"/>
      <c r="M804" s="34"/>
      <c r="N804" t="str">
        <f t="shared" si="12"/>
        <v/>
      </c>
    </row>
    <row r="805" spans="12:14">
      <c r="L805" s="33"/>
      <c r="M805" s="34"/>
      <c r="N805" t="str">
        <f t="shared" si="12"/>
        <v/>
      </c>
    </row>
    <row r="806" spans="12:14">
      <c r="L806" s="33"/>
      <c r="M806" s="34"/>
      <c r="N806" t="str">
        <f t="shared" si="12"/>
        <v/>
      </c>
    </row>
    <row r="807" spans="12:14">
      <c r="L807" s="33"/>
      <c r="M807" s="34"/>
      <c r="N807" t="str">
        <f t="shared" si="12"/>
        <v/>
      </c>
    </row>
    <row r="808" spans="12:14">
      <c r="L808" s="33"/>
      <c r="M808" s="34"/>
      <c r="N808" t="str">
        <f t="shared" si="12"/>
        <v/>
      </c>
    </row>
    <row r="809" spans="12:14">
      <c r="L809" s="33"/>
      <c r="M809" s="34"/>
      <c r="N809" t="str">
        <f t="shared" si="12"/>
        <v/>
      </c>
    </row>
    <row r="810" spans="12:14">
      <c r="L810" s="33"/>
      <c r="M810" s="34"/>
      <c r="N810" t="str">
        <f t="shared" si="12"/>
        <v/>
      </c>
    </row>
    <row r="811" spans="12:14">
      <c r="L811" s="33"/>
      <c r="M811" s="34"/>
      <c r="N811" t="str">
        <f t="shared" si="12"/>
        <v/>
      </c>
    </row>
    <row r="812" spans="12:14">
      <c r="L812" s="33"/>
      <c r="M812" s="34"/>
      <c r="N812" t="str">
        <f t="shared" si="12"/>
        <v/>
      </c>
    </row>
    <row r="813" spans="12:14">
      <c r="L813" s="33"/>
      <c r="M813" s="34"/>
      <c r="N813" t="str">
        <f t="shared" si="12"/>
        <v/>
      </c>
    </row>
    <row r="814" spans="12:14">
      <c r="L814" s="33"/>
      <c r="M814" s="34"/>
      <c r="N814" t="str">
        <f t="shared" si="12"/>
        <v/>
      </c>
    </row>
    <row r="815" spans="12:14">
      <c r="L815" s="33"/>
      <c r="M815" s="34"/>
      <c r="N815" t="str">
        <f t="shared" si="12"/>
        <v/>
      </c>
    </row>
    <row r="816" spans="12:14">
      <c r="L816" s="33"/>
      <c r="M816" s="34"/>
      <c r="N816" t="str">
        <f t="shared" si="12"/>
        <v/>
      </c>
    </row>
    <row r="817" spans="12:14">
      <c r="L817" s="33"/>
      <c r="M817" s="34"/>
      <c r="N817" t="str">
        <f t="shared" si="12"/>
        <v/>
      </c>
    </row>
    <row r="818" spans="12:14">
      <c r="L818" s="33"/>
      <c r="M818" s="34"/>
      <c r="N818" t="str">
        <f t="shared" si="12"/>
        <v/>
      </c>
    </row>
    <row r="819" spans="12:14">
      <c r="L819" s="33"/>
      <c r="M819" s="34"/>
      <c r="N819" t="str">
        <f t="shared" si="12"/>
        <v/>
      </c>
    </row>
    <row r="820" spans="12:14">
      <c r="L820" s="33"/>
      <c r="M820" s="34"/>
      <c r="N820" t="str">
        <f t="shared" si="12"/>
        <v/>
      </c>
    </row>
    <row r="821" spans="12:14">
      <c r="L821" s="33"/>
      <c r="M821" s="34"/>
      <c r="N821" t="str">
        <f t="shared" si="12"/>
        <v/>
      </c>
    </row>
    <row r="822" spans="12:14">
      <c r="L822" s="33"/>
      <c r="M822" s="34"/>
      <c r="N822" t="str">
        <f t="shared" si="12"/>
        <v/>
      </c>
    </row>
    <row r="823" spans="12:14">
      <c r="L823" s="33"/>
      <c r="M823" s="34"/>
      <c r="N823" t="str">
        <f t="shared" si="12"/>
        <v/>
      </c>
    </row>
    <row r="824" spans="12:14">
      <c r="L824" s="33"/>
      <c r="M824" s="34"/>
      <c r="N824" t="str">
        <f t="shared" si="12"/>
        <v/>
      </c>
    </row>
    <row r="825" spans="12:14">
      <c r="L825" s="33"/>
      <c r="M825" s="34"/>
      <c r="N825" t="str">
        <f t="shared" si="12"/>
        <v/>
      </c>
    </row>
    <row r="826" spans="12:14">
      <c r="L826" s="33"/>
      <c r="M826" s="34"/>
      <c r="N826" t="str">
        <f t="shared" si="12"/>
        <v/>
      </c>
    </row>
    <row r="827" spans="12:14">
      <c r="L827" s="33"/>
      <c r="M827" s="34"/>
      <c r="N827" t="str">
        <f t="shared" si="12"/>
        <v/>
      </c>
    </row>
    <row r="828" spans="12:14">
      <c r="L828" s="33"/>
      <c r="M828" s="34"/>
      <c r="N828" t="str">
        <f t="shared" si="12"/>
        <v/>
      </c>
    </row>
    <row r="829" spans="12:14">
      <c r="L829" s="33"/>
      <c r="M829" s="34"/>
      <c r="N829" t="str">
        <f t="shared" si="12"/>
        <v/>
      </c>
    </row>
    <row r="830" spans="12:14">
      <c r="L830" s="33"/>
      <c r="M830" s="34"/>
      <c r="N830" t="str">
        <f t="shared" si="12"/>
        <v/>
      </c>
    </row>
    <row r="831" spans="12:14">
      <c r="L831" s="33"/>
      <c r="M831" s="34"/>
      <c r="N831" t="str">
        <f t="shared" si="12"/>
        <v/>
      </c>
    </row>
    <row r="832" spans="12:14">
      <c r="L832" s="33"/>
      <c r="M832" s="34"/>
      <c r="N832" t="str">
        <f t="shared" si="12"/>
        <v/>
      </c>
    </row>
    <row r="833" spans="12:14">
      <c r="L833" s="33"/>
      <c r="M833" s="34"/>
      <c r="N833" t="str">
        <f t="shared" si="12"/>
        <v/>
      </c>
    </row>
    <row r="834" spans="12:14">
      <c r="L834" s="33"/>
      <c r="M834" s="34"/>
      <c r="N834" t="str">
        <f t="shared" ref="N834:N897" si="13">IFERROR(VALUE(MID(E834,3,5)),"")</f>
        <v/>
      </c>
    </row>
    <row r="835" spans="12:14">
      <c r="L835" s="33"/>
      <c r="M835" s="34"/>
      <c r="N835" t="str">
        <f t="shared" si="13"/>
        <v/>
      </c>
    </row>
    <row r="836" spans="12:14">
      <c r="L836" s="33"/>
      <c r="M836" s="34"/>
      <c r="N836" t="str">
        <f t="shared" si="13"/>
        <v/>
      </c>
    </row>
    <row r="837" spans="12:14">
      <c r="L837" s="33"/>
      <c r="M837" s="34"/>
      <c r="N837" t="str">
        <f t="shared" si="13"/>
        <v/>
      </c>
    </row>
    <row r="838" spans="12:14">
      <c r="L838" s="33"/>
      <c r="M838" s="34"/>
      <c r="N838" t="str">
        <f t="shared" si="13"/>
        <v/>
      </c>
    </row>
    <row r="839" spans="12:14">
      <c r="L839" s="33"/>
      <c r="M839" s="34"/>
      <c r="N839" t="str">
        <f t="shared" si="13"/>
        <v/>
      </c>
    </row>
    <row r="840" spans="12:14">
      <c r="L840" s="33"/>
      <c r="M840" s="34"/>
      <c r="N840" t="str">
        <f t="shared" si="13"/>
        <v/>
      </c>
    </row>
    <row r="841" spans="12:14">
      <c r="L841" s="33"/>
      <c r="M841" s="34"/>
      <c r="N841" t="str">
        <f t="shared" si="13"/>
        <v/>
      </c>
    </row>
    <row r="842" spans="12:14">
      <c r="L842" s="33"/>
      <c r="M842" s="34"/>
      <c r="N842" t="str">
        <f t="shared" si="13"/>
        <v/>
      </c>
    </row>
    <row r="843" spans="12:14">
      <c r="L843" s="33"/>
      <c r="M843" s="34"/>
      <c r="N843" t="str">
        <f t="shared" si="13"/>
        <v/>
      </c>
    </row>
    <row r="844" spans="12:14">
      <c r="L844" s="33"/>
      <c r="M844" s="34"/>
      <c r="N844" t="str">
        <f t="shared" si="13"/>
        <v/>
      </c>
    </row>
    <row r="845" spans="12:14">
      <c r="L845" s="33"/>
      <c r="M845" s="34"/>
      <c r="N845" t="str">
        <f t="shared" si="13"/>
        <v/>
      </c>
    </row>
    <row r="846" spans="12:14">
      <c r="L846" s="33"/>
      <c r="M846" s="34"/>
      <c r="N846" t="str">
        <f t="shared" si="13"/>
        <v/>
      </c>
    </row>
    <row r="847" spans="12:14">
      <c r="L847" s="33"/>
      <c r="M847" s="34"/>
      <c r="N847" t="str">
        <f t="shared" si="13"/>
        <v/>
      </c>
    </row>
    <row r="848" spans="12:14">
      <c r="L848" s="33"/>
      <c r="M848" s="34"/>
      <c r="N848" t="str">
        <f t="shared" si="13"/>
        <v/>
      </c>
    </row>
    <row r="849" spans="12:14">
      <c r="L849" s="33"/>
      <c r="M849" s="34"/>
      <c r="N849" t="str">
        <f t="shared" si="13"/>
        <v/>
      </c>
    </row>
    <row r="850" spans="12:14">
      <c r="L850" s="33"/>
      <c r="M850" s="34"/>
      <c r="N850" t="str">
        <f t="shared" si="13"/>
        <v/>
      </c>
    </row>
    <row r="851" spans="12:14">
      <c r="L851" s="33"/>
      <c r="M851" s="34"/>
      <c r="N851" t="str">
        <f t="shared" si="13"/>
        <v/>
      </c>
    </row>
    <row r="852" spans="12:14">
      <c r="L852" s="33"/>
      <c r="M852" s="34"/>
      <c r="N852" t="str">
        <f t="shared" si="13"/>
        <v/>
      </c>
    </row>
    <row r="853" spans="12:14">
      <c r="L853" s="33"/>
      <c r="M853" s="34"/>
      <c r="N853" t="str">
        <f t="shared" si="13"/>
        <v/>
      </c>
    </row>
    <row r="854" spans="12:14">
      <c r="L854" s="33"/>
      <c r="M854" s="34"/>
      <c r="N854" t="str">
        <f t="shared" si="13"/>
        <v/>
      </c>
    </row>
    <row r="855" spans="12:14">
      <c r="L855" s="33"/>
      <c r="M855" s="34"/>
      <c r="N855" t="str">
        <f t="shared" si="13"/>
        <v/>
      </c>
    </row>
    <row r="856" spans="12:14">
      <c r="L856" s="33"/>
      <c r="M856" s="34"/>
      <c r="N856" t="str">
        <f t="shared" si="13"/>
        <v/>
      </c>
    </row>
    <row r="857" spans="12:14">
      <c r="L857" s="33"/>
      <c r="M857" s="34"/>
      <c r="N857" t="str">
        <f t="shared" si="13"/>
        <v/>
      </c>
    </row>
    <row r="858" spans="12:14">
      <c r="L858" s="33"/>
      <c r="M858" s="34"/>
      <c r="N858" t="str">
        <f t="shared" si="13"/>
        <v/>
      </c>
    </row>
    <row r="859" spans="12:14">
      <c r="L859" s="33"/>
      <c r="M859" s="34"/>
      <c r="N859" t="str">
        <f t="shared" si="13"/>
        <v/>
      </c>
    </row>
    <row r="860" spans="12:14">
      <c r="L860" s="33"/>
      <c r="M860" s="34"/>
      <c r="N860" t="str">
        <f t="shared" si="13"/>
        <v/>
      </c>
    </row>
    <row r="861" spans="12:14">
      <c r="L861" s="33"/>
      <c r="M861" s="34"/>
      <c r="N861" t="str">
        <f t="shared" si="13"/>
        <v/>
      </c>
    </row>
    <row r="862" spans="12:14">
      <c r="L862" s="33"/>
      <c r="M862" s="34"/>
      <c r="N862" t="str">
        <f t="shared" si="13"/>
        <v/>
      </c>
    </row>
    <row r="863" spans="12:14">
      <c r="L863" s="33"/>
      <c r="M863" s="34"/>
      <c r="N863" t="str">
        <f t="shared" si="13"/>
        <v/>
      </c>
    </row>
    <row r="864" spans="12:14">
      <c r="L864" s="33"/>
      <c r="M864" s="34"/>
      <c r="N864" t="str">
        <f t="shared" si="13"/>
        <v/>
      </c>
    </row>
    <row r="865" spans="12:14">
      <c r="L865" s="33"/>
      <c r="M865" s="34"/>
      <c r="N865" t="str">
        <f t="shared" si="13"/>
        <v/>
      </c>
    </row>
    <row r="866" spans="12:14">
      <c r="L866" s="33"/>
      <c r="M866" s="34"/>
      <c r="N866" t="str">
        <f t="shared" si="13"/>
        <v/>
      </c>
    </row>
    <row r="867" spans="12:14">
      <c r="L867" s="33"/>
      <c r="M867" s="34"/>
      <c r="N867" t="str">
        <f t="shared" si="13"/>
        <v/>
      </c>
    </row>
    <row r="868" spans="12:14">
      <c r="L868" s="33"/>
      <c r="M868" s="34"/>
      <c r="N868" t="str">
        <f t="shared" si="13"/>
        <v/>
      </c>
    </row>
    <row r="869" spans="12:14">
      <c r="L869" s="33"/>
      <c r="M869" s="34"/>
      <c r="N869" t="str">
        <f t="shared" si="13"/>
        <v/>
      </c>
    </row>
    <row r="870" spans="12:14">
      <c r="L870" s="33"/>
      <c r="M870" s="34"/>
      <c r="N870" t="str">
        <f t="shared" si="13"/>
        <v/>
      </c>
    </row>
    <row r="871" spans="12:14">
      <c r="L871" s="33"/>
      <c r="M871" s="34"/>
      <c r="N871" t="str">
        <f t="shared" si="13"/>
        <v/>
      </c>
    </row>
    <row r="872" spans="12:14">
      <c r="L872" s="33"/>
      <c r="M872" s="34"/>
      <c r="N872" t="str">
        <f t="shared" si="13"/>
        <v/>
      </c>
    </row>
    <row r="873" spans="12:14">
      <c r="L873" s="33"/>
      <c r="M873" s="34"/>
      <c r="N873" t="str">
        <f t="shared" si="13"/>
        <v/>
      </c>
    </row>
    <row r="874" spans="12:14">
      <c r="L874" s="33"/>
      <c r="M874" s="34"/>
      <c r="N874" t="str">
        <f t="shared" si="13"/>
        <v/>
      </c>
    </row>
    <row r="875" spans="12:14">
      <c r="L875" s="33"/>
      <c r="M875" s="34"/>
      <c r="N875" t="str">
        <f t="shared" si="13"/>
        <v/>
      </c>
    </row>
    <row r="876" spans="12:14">
      <c r="L876" s="33"/>
      <c r="M876" s="34"/>
      <c r="N876" t="str">
        <f t="shared" si="13"/>
        <v/>
      </c>
    </row>
    <row r="877" spans="12:14">
      <c r="L877" s="33"/>
      <c r="M877" s="34"/>
      <c r="N877" t="str">
        <f t="shared" si="13"/>
        <v/>
      </c>
    </row>
    <row r="878" spans="12:14">
      <c r="L878" s="33"/>
      <c r="M878" s="34"/>
      <c r="N878" t="str">
        <f t="shared" si="13"/>
        <v/>
      </c>
    </row>
    <row r="879" spans="12:14">
      <c r="L879" s="33"/>
      <c r="M879" s="34"/>
      <c r="N879" t="str">
        <f t="shared" si="13"/>
        <v/>
      </c>
    </row>
    <row r="880" spans="12:14">
      <c r="L880" s="33"/>
      <c r="M880" s="34"/>
      <c r="N880" t="str">
        <f t="shared" si="13"/>
        <v/>
      </c>
    </row>
    <row r="881" spans="12:14">
      <c r="L881" s="33"/>
      <c r="M881" s="34"/>
      <c r="N881" t="str">
        <f t="shared" si="13"/>
        <v/>
      </c>
    </row>
    <row r="882" spans="12:14">
      <c r="L882" s="33"/>
      <c r="M882" s="34"/>
      <c r="N882" t="str">
        <f t="shared" si="13"/>
        <v/>
      </c>
    </row>
    <row r="883" spans="12:14">
      <c r="L883" s="33"/>
      <c r="M883" s="34"/>
      <c r="N883" t="str">
        <f t="shared" si="13"/>
        <v/>
      </c>
    </row>
    <row r="884" spans="12:14">
      <c r="L884" s="33"/>
      <c r="M884" s="34"/>
      <c r="N884" t="str">
        <f t="shared" si="13"/>
        <v/>
      </c>
    </row>
    <row r="885" spans="12:14">
      <c r="L885" s="33"/>
      <c r="M885" s="34"/>
      <c r="N885" t="str">
        <f t="shared" si="13"/>
        <v/>
      </c>
    </row>
    <row r="886" spans="12:14">
      <c r="L886" s="33"/>
      <c r="M886" s="34"/>
      <c r="N886" t="str">
        <f t="shared" si="13"/>
        <v/>
      </c>
    </row>
    <row r="887" spans="12:14">
      <c r="L887" s="33"/>
      <c r="M887" s="34"/>
      <c r="N887" t="str">
        <f t="shared" si="13"/>
        <v/>
      </c>
    </row>
    <row r="888" spans="12:14">
      <c r="L888" s="33"/>
      <c r="M888" s="34"/>
      <c r="N888" t="str">
        <f t="shared" si="13"/>
        <v/>
      </c>
    </row>
    <row r="889" spans="12:14">
      <c r="L889" s="33"/>
      <c r="M889" s="34"/>
      <c r="N889" t="str">
        <f t="shared" si="13"/>
        <v/>
      </c>
    </row>
    <row r="890" spans="12:14">
      <c r="L890" s="33"/>
      <c r="M890" s="34"/>
      <c r="N890" t="str">
        <f t="shared" si="13"/>
        <v/>
      </c>
    </row>
    <row r="891" spans="12:14">
      <c r="L891" s="33"/>
      <c r="M891" s="34"/>
      <c r="N891" t="str">
        <f t="shared" si="13"/>
        <v/>
      </c>
    </row>
    <row r="892" spans="12:14">
      <c r="L892" s="33"/>
      <c r="M892" s="34"/>
      <c r="N892" t="str">
        <f t="shared" si="13"/>
        <v/>
      </c>
    </row>
    <row r="893" spans="12:14">
      <c r="L893" s="33"/>
      <c r="M893" s="34"/>
      <c r="N893" t="str">
        <f t="shared" si="13"/>
        <v/>
      </c>
    </row>
    <row r="894" spans="12:14">
      <c r="L894" s="33"/>
      <c r="M894" s="34"/>
      <c r="N894" t="str">
        <f t="shared" si="13"/>
        <v/>
      </c>
    </row>
    <row r="895" spans="12:14">
      <c r="L895" s="33"/>
      <c r="M895" s="34"/>
      <c r="N895" t="str">
        <f t="shared" si="13"/>
        <v/>
      </c>
    </row>
    <row r="896" spans="12:14">
      <c r="L896" s="33"/>
      <c r="M896" s="34"/>
      <c r="N896" t="str">
        <f t="shared" si="13"/>
        <v/>
      </c>
    </row>
    <row r="897" spans="12:14">
      <c r="L897" s="33"/>
      <c r="M897" s="34"/>
      <c r="N897" t="str">
        <f t="shared" si="13"/>
        <v/>
      </c>
    </row>
    <row r="898" spans="12:14">
      <c r="L898" s="33"/>
      <c r="M898" s="34"/>
      <c r="N898" t="str">
        <f t="shared" ref="N898:N961" si="14">IFERROR(VALUE(MID(E898,3,5)),"")</f>
        <v/>
      </c>
    </row>
    <row r="899" spans="12:14">
      <c r="L899" s="33"/>
      <c r="M899" s="34"/>
      <c r="N899" t="str">
        <f t="shared" si="14"/>
        <v/>
      </c>
    </row>
    <row r="900" spans="12:14">
      <c r="L900" s="33"/>
      <c r="M900" s="34"/>
      <c r="N900" t="str">
        <f t="shared" si="14"/>
        <v/>
      </c>
    </row>
    <row r="901" spans="12:14">
      <c r="L901" s="33"/>
      <c r="M901" s="34"/>
      <c r="N901" t="str">
        <f t="shared" si="14"/>
        <v/>
      </c>
    </row>
    <row r="902" spans="12:14">
      <c r="L902" s="33"/>
      <c r="M902" s="34"/>
      <c r="N902" t="str">
        <f t="shared" si="14"/>
        <v/>
      </c>
    </row>
    <row r="903" spans="12:14">
      <c r="L903" s="33"/>
      <c r="M903" s="34"/>
      <c r="N903" t="str">
        <f t="shared" si="14"/>
        <v/>
      </c>
    </row>
    <row r="904" spans="12:14">
      <c r="L904" s="33"/>
      <c r="M904" s="34"/>
      <c r="N904" t="str">
        <f t="shared" si="14"/>
        <v/>
      </c>
    </row>
    <row r="905" spans="12:14">
      <c r="L905" s="33"/>
      <c r="M905" s="34"/>
      <c r="N905" t="str">
        <f t="shared" si="14"/>
        <v/>
      </c>
    </row>
    <row r="906" spans="12:14">
      <c r="L906" s="33"/>
      <c r="M906" s="34"/>
      <c r="N906" t="str">
        <f t="shared" si="14"/>
        <v/>
      </c>
    </row>
    <row r="907" spans="12:14">
      <c r="L907" s="33"/>
      <c r="M907" s="34"/>
      <c r="N907" t="str">
        <f t="shared" si="14"/>
        <v/>
      </c>
    </row>
    <row r="908" spans="12:14">
      <c r="L908" s="33"/>
      <c r="M908" s="34"/>
      <c r="N908" t="str">
        <f t="shared" si="14"/>
        <v/>
      </c>
    </row>
    <row r="909" spans="12:14">
      <c r="L909" s="33"/>
      <c r="M909" s="34"/>
      <c r="N909" t="str">
        <f t="shared" si="14"/>
        <v/>
      </c>
    </row>
    <row r="910" spans="12:14">
      <c r="L910" s="33"/>
      <c r="M910" s="34"/>
      <c r="N910" t="str">
        <f t="shared" si="14"/>
        <v/>
      </c>
    </row>
    <row r="911" spans="12:14">
      <c r="L911" s="33"/>
      <c r="M911" s="34"/>
      <c r="N911" t="str">
        <f t="shared" si="14"/>
        <v/>
      </c>
    </row>
    <row r="912" spans="12:14">
      <c r="L912" s="33"/>
      <c r="M912" s="34"/>
      <c r="N912" t="str">
        <f t="shared" si="14"/>
        <v/>
      </c>
    </row>
    <row r="913" spans="12:14">
      <c r="L913" s="33"/>
      <c r="M913" s="34"/>
      <c r="N913" t="str">
        <f t="shared" si="14"/>
        <v/>
      </c>
    </row>
    <row r="914" spans="12:14">
      <c r="L914" s="33"/>
      <c r="M914" s="34"/>
      <c r="N914" t="str">
        <f t="shared" si="14"/>
        <v/>
      </c>
    </row>
    <row r="915" spans="12:14">
      <c r="L915" s="33"/>
      <c r="M915" s="34"/>
      <c r="N915" t="str">
        <f t="shared" si="14"/>
        <v/>
      </c>
    </row>
    <row r="916" spans="12:14">
      <c r="L916" s="33"/>
      <c r="M916" s="34"/>
      <c r="N916" t="str">
        <f t="shared" si="14"/>
        <v/>
      </c>
    </row>
    <row r="917" spans="12:14">
      <c r="L917" s="33"/>
      <c r="M917" s="34"/>
      <c r="N917" t="str">
        <f t="shared" si="14"/>
        <v/>
      </c>
    </row>
    <row r="918" spans="12:14">
      <c r="L918" s="33"/>
      <c r="M918" s="34"/>
      <c r="N918" t="str">
        <f t="shared" si="14"/>
        <v/>
      </c>
    </row>
    <row r="919" spans="12:14">
      <c r="L919" s="33"/>
      <c r="M919" s="34"/>
      <c r="N919" t="str">
        <f t="shared" si="14"/>
        <v/>
      </c>
    </row>
    <row r="920" spans="12:14">
      <c r="L920" s="33"/>
      <c r="M920" s="34"/>
      <c r="N920" t="str">
        <f t="shared" si="14"/>
        <v/>
      </c>
    </row>
    <row r="921" spans="12:14">
      <c r="L921" s="33"/>
      <c r="M921" s="34"/>
      <c r="N921" t="str">
        <f t="shared" si="14"/>
        <v/>
      </c>
    </row>
    <row r="922" spans="12:14">
      <c r="L922" s="33"/>
      <c r="M922" s="34"/>
      <c r="N922" t="str">
        <f t="shared" si="14"/>
        <v/>
      </c>
    </row>
    <row r="923" spans="12:14">
      <c r="L923" s="33"/>
      <c r="M923" s="34"/>
      <c r="N923" t="str">
        <f t="shared" si="14"/>
        <v/>
      </c>
    </row>
    <row r="924" spans="12:14">
      <c r="L924" s="33"/>
      <c r="M924" s="34"/>
      <c r="N924" t="str">
        <f t="shared" si="14"/>
        <v/>
      </c>
    </row>
    <row r="925" spans="12:14">
      <c r="L925" s="33"/>
      <c r="M925" s="34"/>
      <c r="N925" t="str">
        <f t="shared" si="14"/>
        <v/>
      </c>
    </row>
    <row r="926" spans="12:14">
      <c r="L926" s="33"/>
      <c r="M926" s="34"/>
      <c r="N926" t="str">
        <f t="shared" si="14"/>
        <v/>
      </c>
    </row>
    <row r="927" spans="12:14">
      <c r="L927" s="33"/>
      <c r="M927" s="34"/>
      <c r="N927" t="str">
        <f t="shared" si="14"/>
        <v/>
      </c>
    </row>
    <row r="928" spans="12:14">
      <c r="L928" s="33"/>
      <c r="M928" s="34"/>
      <c r="N928" t="str">
        <f t="shared" si="14"/>
        <v/>
      </c>
    </row>
    <row r="929" spans="12:14">
      <c r="L929" s="33"/>
      <c r="M929" s="34"/>
      <c r="N929" t="str">
        <f t="shared" si="14"/>
        <v/>
      </c>
    </row>
    <row r="930" spans="12:14">
      <c r="L930" s="33"/>
      <c r="M930" s="34"/>
      <c r="N930" t="str">
        <f t="shared" si="14"/>
        <v/>
      </c>
    </row>
    <row r="931" spans="12:14">
      <c r="L931" s="33"/>
      <c r="M931" s="34"/>
      <c r="N931" t="str">
        <f t="shared" si="14"/>
        <v/>
      </c>
    </row>
    <row r="932" spans="12:14">
      <c r="L932" s="33"/>
      <c r="M932" s="34"/>
      <c r="N932" t="str">
        <f t="shared" si="14"/>
        <v/>
      </c>
    </row>
    <row r="933" spans="12:14">
      <c r="L933" s="33"/>
      <c r="M933" s="34"/>
      <c r="N933" t="str">
        <f t="shared" si="14"/>
        <v/>
      </c>
    </row>
    <row r="934" spans="12:14">
      <c r="L934" s="33"/>
      <c r="M934" s="34"/>
      <c r="N934" t="str">
        <f t="shared" si="14"/>
        <v/>
      </c>
    </row>
    <row r="935" spans="12:14">
      <c r="L935" s="33"/>
      <c r="M935" s="34"/>
      <c r="N935" t="str">
        <f t="shared" si="14"/>
        <v/>
      </c>
    </row>
    <row r="936" spans="12:14">
      <c r="L936" s="33"/>
      <c r="M936" s="34"/>
      <c r="N936" t="str">
        <f t="shared" si="14"/>
        <v/>
      </c>
    </row>
    <row r="937" spans="12:14">
      <c r="L937" s="33"/>
      <c r="M937" s="34"/>
      <c r="N937" t="str">
        <f t="shared" si="14"/>
        <v/>
      </c>
    </row>
    <row r="938" spans="12:14">
      <c r="L938" s="33"/>
      <c r="M938" s="34"/>
      <c r="N938" t="str">
        <f t="shared" si="14"/>
        <v/>
      </c>
    </row>
    <row r="939" spans="12:14">
      <c r="L939" s="33"/>
      <c r="M939" s="34"/>
      <c r="N939" t="str">
        <f t="shared" si="14"/>
        <v/>
      </c>
    </row>
    <row r="940" spans="12:14">
      <c r="L940" s="33"/>
      <c r="M940" s="34"/>
      <c r="N940" t="str">
        <f t="shared" si="14"/>
        <v/>
      </c>
    </row>
    <row r="941" spans="12:14">
      <c r="L941" s="33"/>
      <c r="M941" s="34"/>
      <c r="N941" t="str">
        <f t="shared" si="14"/>
        <v/>
      </c>
    </row>
    <row r="942" spans="12:14">
      <c r="L942" s="33"/>
      <c r="M942" s="34"/>
      <c r="N942" t="str">
        <f t="shared" si="14"/>
        <v/>
      </c>
    </row>
    <row r="943" spans="12:14">
      <c r="L943" s="33"/>
      <c r="M943" s="34"/>
      <c r="N943" t="str">
        <f t="shared" si="14"/>
        <v/>
      </c>
    </row>
    <row r="944" spans="12:14">
      <c r="L944" s="33"/>
      <c r="M944" s="34"/>
      <c r="N944" t="str">
        <f t="shared" si="14"/>
        <v/>
      </c>
    </row>
    <row r="945" spans="12:14">
      <c r="L945" s="33"/>
      <c r="M945" s="34"/>
      <c r="N945" t="str">
        <f t="shared" si="14"/>
        <v/>
      </c>
    </row>
    <row r="946" spans="12:14">
      <c r="L946" s="33"/>
      <c r="M946" s="34"/>
      <c r="N946" t="str">
        <f t="shared" si="14"/>
        <v/>
      </c>
    </row>
    <row r="947" spans="12:14">
      <c r="L947" s="33"/>
      <c r="M947" s="34"/>
      <c r="N947" t="str">
        <f t="shared" si="14"/>
        <v/>
      </c>
    </row>
    <row r="948" spans="12:14">
      <c r="L948" s="33"/>
      <c r="M948" s="34"/>
      <c r="N948" t="str">
        <f t="shared" si="14"/>
        <v/>
      </c>
    </row>
    <row r="949" spans="12:14">
      <c r="L949" s="33"/>
      <c r="M949" s="34"/>
      <c r="N949" t="str">
        <f t="shared" si="14"/>
        <v/>
      </c>
    </row>
    <row r="950" spans="12:14">
      <c r="L950" s="33"/>
      <c r="M950" s="34"/>
      <c r="N950" t="str">
        <f t="shared" si="14"/>
        <v/>
      </c>
    </row>
    <row r="951" spans="12:14">
      <c r="L951" s="33"/>
      <c r="M951" s="34"/>
      <c r="N951" t="str">
        <f t="shared" si="14"/>
        <v/>
      </c>
    </row>
    <row r="952" spans="12:14">
      <c r="L952" s="33"/>
      <c r="M952" s="34"/>
      <c r="N952" t="str">
        <f t="shared" si="14"/>
        <v/>
      </c>
    </row>
    <row r="953" spans="12:14">
      <c r="L953" s="33"/>
      <c r="M953" s="34"/>
      <c r="N953" t="str">
        <f t="shared" si="14"/>
        <v/>
      </c>
    </row>
    <row r="954" spans="12:14">
      <c r="L954" s="33"/>
      <c r="M954" s="34"/>
      <c r="N954" t="str">
        <f t="shared" si="14"/>
        <v/>
      </c>
    </row>
    <row r="955" spans="12:14">
      <c r="L955" s="33"/>
      <c r="M955" s="34"/>
      <c r="N955" t="str">
        <f t="shared" si="14"/>
        <v/>
      </c>
    </row>
    <row r="956" spans="12:14">
      <c r="L956" s="33"/>
      <c r="M956" s="34"/>
      <c r="N956" t="str">
        <f t="shared" si="14"/>
        <v/>
      </c>
    </row>
    <row r="957" spans="12:14">
      <c r="L957" s="33"/>
      <c r="M957" s="34"/>
      <c r="N957" t="str">
        <f t="shared" si="14"/>
        <v/>
      </c>
    </row>
    <row r="958" spans="12:14">
      <c r="L958" s="33"/>
      <c r="M958" s="34"/>
      <c r="N958" t="str">
        <f t="shared" si="14"/>
        <v/>
      </c>
    </row>
    <row r="959" spans="12:14">
      <c r="L959" s="33"/>
      <c r="M959" s="34"/>
      <c r="N959" t="str">
        <f t="shared" si="14"/>
        <v/>
      </c>
    </row>
    <row r="960" spans="12:14">
      <c r="L960" s="33"/>
      <c r="M960" s="34"/>
      <c r="N960" t="str">
        <f t="shared" si="14"/>
        <v/>
      </c>
    </row>
    <row r="961" spans="12:14">
      <c r="L961" s="33"/>
      <c r="M961" s="34"/>
      <c r="N961" t="str">
        <f t="shared" si="14"/>
        <v/>
      </c>
    </row>
    <row r="962" spans="12:14">
      <c r="L962" s="33"/>
      <c r="M962" s="34"/>
      <c r="N962" t="str">
        <f t="shared" ref="N962:N1000" si="15">IFERROR(VALUE(MID(E962,3,5)),"")</f>
        <v/>
      </c>
    </row>
    <row r="963" spans="12:14">
      <c r="L963" s="33"/>
      <c r="M963" s="34"/>
      <c r="N963" t="str">
        <f t="shared" si="15"/>
        <v/>
      </c>
    </row>
    <row r="964" spans="12:14">
      <c r="L964" s="33"/>
      <c r="M964" s="34"/>
      <c r="N964" t="str">
        <f t="shared" si="15"/>
        <v/>
      </c>
    </row>
    <row r="965" spans="12:14">
      <c r="L965" s="33"/>
      <c r="M965" s="34"/>
      <c r="N965" t="str">
        <f t="shared" si="15"/>
        <v/>
      </c>
    </row>
    <row r="966" spans="12:14">
      <c r="L966" s="33"/>
      <c r="M966" s="34"/>
      <c r="N966" t="str">
        <f t="shared" si="15"/>
        <v/>
      </c>
    </row>
    <row r="967" spans="12:14">
      <c r="L967" s="33"/>
      <c r="M967" s="34"/>
      <c r="N967" t="str">
        <f t="shared" si="15"/>
        <v/>
      </c>
    </row>
    <row r="968" spans="12:14">
      <c r="L968" s="33"/>
      <c r="M968" s="34"/>
      <c r="N968" t="str">
        <f t="shared" si="15"/>
        <v/>
      </c>
    </row>
    <row r="969" spans="12:14">
      <c r="L969" s="33"/>
      <c r="M969" s="34"/>
      <c r="N969" t="str">
        <f t="shared" si="15"/>
        <v/>
      </c>
    </row>
    <row r="970" spans="12:14">
      <c r="L970" s="33"/>
      <c r="M970" s="34"/>
      <c r="N970" t="str">
        <f t="shared" si="15"/>
        <v/>
      </c>
    </row>
    <row r="971" spans="12:14">
      <c r="L971" s="33"/>
      <c r="M971" s="34"/>
      <c r="N971" t="str">
        <f t="shared" si="15"/>
        <v/>
      </c>
    </row>
    <row r="972" spans="12:14">
      <c r="L972" s="33"/>
      <c r="M972" s="34"/>
      <c r="N972" t="str">
        <f t="shared" si="15"/>
        <v/>
      </c>
    </row>
    <row r="973" spans="12:14">
      <c r="L973" s="33"/>
      <c r="M973" s="34"/>
      <c r="N973" t="str">
        <f t="shared" si="15"/>
        <v/>
      </c>
    </row>
    <row r="974" spans="12:14">
      <c r="L974" s="33"/>
      <c r="M974" s="34"/>
      <c r="N974" t="str">
        <f t="shared" si="15"/>
        <v/>
      </c>
    </row>
    <row r="975" spans="12:14">
      <c r="L975" s="33"/>
      <c r="M975" s="34"/>
      <c r="N975" t="str">
        <f t="shared" si="15"/>
        <v/>
      </c>
    </row>
    <row r="976" spans="12:14">
      <c r="L976" s="33"/>
      <c r="M976" s="34"/>
      <c r="N976" t="str">
        <f t="shared" si="15"/>
        <v/>
      </c>
    </row>
    <row r="977" spans="12:14">
      <c r="L977" s="33"/>
      <c r="M977" s="34"/>
      <c r="N977" t="str">
        <f t="shared" si="15"/>
        <v/>
      </c>
    </row>
    <row r="978" spans="12:14">
      <c r="L978" s="33"/>
      <c r="M978" s="34"/>
      <c r="N978" t="str">
        <f t="shared" si="15"/>
        <v/>
      </c>
    </row>
    <row r="979" spans="12:14">
      <c r="L979" s="33"/>
      <c r="M979" s="34"/>
      <c r="N979" t="str">
        <f t="shared" si="15"/>
        <v/>
      </c>
    </row>
    <row r="980" spans="12:14">
      <c r="L980" s="33"/>
      <c r="M980" s="34"/>
      <c r="N980" t="str">
        <f t="shared" si="15"/>
        <v/>
      </c>
    </row>
    <row r="981" spans="12:14">
      <c r="L981" s="33"/>
      <c r="M981" s="34"/>
      <c r="N981" t="str">
        <f t="shared" si="15"/>
        <v/>
      </c>
    </row>
    <row r="982" spans="12:14">
      <c r="L982" s="33"/>
      <c r="M982" s="34"/>
      <c r="N982" t="str">
        <f t="shared" si="15"/>
        <v/>
      </c>
    </row>
    <row r="983" spans="12:14">
      <c r="L983" s="33"/>
      <c r="M983" s="34"/>
      <c r="N983" t="str">
        <f t="shared" si="15"/>
        <v/>
      </c>
    </row>
    <row r="984" spans="12:14">
      <c r="L984" s="33"/>
      <c r="M984" s="34"/>
      <c r="N984" t="str">
        <f t="shared" si="15"/>
        <v/>
      </c>
    </row>
    <row r="985" spans="12:14">
      <c r="L985" s="33"/>
      <c r="M985" s="34"/>
      <c r="N985" t="str">
        <f t="shared" si="15"/>
        <v/>
      </c>
    </row>
    <row r="986" spans="12:14">
      <c r="L986" s="33"/>
      <c r="M986" s="34"/>
      <c r="N986" t="str">
        <f t="shared" si="15"/>
        <v/>
      </c>
    </row>
    <row r="987" spans="12:14">
      <c r="L987" s="33"/>
      <c r="M987" s="34"/>
      <c r="N987" t="str">
        <f t="shared" si="15"/>
        <v/>
      </c>
    </row>
    <row r="988" spans="12:14">
      <c r="L988" s="33"/>
      <c r="M988" s="34"/>
      <c r="N988" t="str">
        <f t="shared" si="15"/>
        <v/>
      </c>
    </row>
    <row r="989" spans="12:14">
      <c r="L989" s="33"/>
      <c r="M989" s="34"/>
      <c r="N989" t="str">
        <f t="shared" si="15"/>
        <v/>
      </c>
    </row>
    <row r="990" spans="12:14">
      <c r="L990" s="33"/>
      <c r="M990" s="34"/>
      <c r="N990" t="str">
        <f t="shared" si="15"/>
        <v/>
      </c>
    </row>
    <row r="991" spans="12:14">
      <c r="L991" s="33"/>
      <c r="M991" s="34"/>
      <c r="N991" t="str">
        <f t="shared" si="15"/>
        <v/>
      </c>
    </row>
    <row r="992" spans="12:14">
      <c r="L992" s="33"/>
      <c r="M992" s="34"/>
      <c r="N992" t="str">
        <f t="shared" si="15"/>
        <v/>
      </c>
    </row>
    <row r="993" spans="12:14">
      <c r="L993" s="33"/>
      <c r="M993" s="34"/>
      <c r="N993" t="str">
        <f t="shared" si="15"/>
        <v/>
      </c>
    </row>
    <row r="994" spans="12:14">
      <c r="L994" s="33"/>
      <c r="M994" s="34"/>
      <c r="N994" t="str">
        <f t="shared" si="15"/>
        <v/>
      </c>
    </row>
    <row r="995" spans="12:14">
      <c r="L995" s="33"/>
      <c r="M995" s="34"/>
      <c r="N995" t="str">
        <f t="shared" si="15"/>
        <v/>
      </c>
    </row>
    <row r="996" spans="12:14">
      <c r="L996" s="33"/>
      <c r="M996" s="34"/>
      <c r="N996" t="str">
        <f t="shared" si="15"/>
        <v/>
      </c>
    </row>
    <row r="997" spans="12:14">
      <c r="L997" s="33"/>
      <c r="M997" s="34"/>
      <c r="N997" t="str">
        <f t="shared" si="15"/>
        <v/>
      </c>
    </row>
    <row r="998" spans="12:14">
      <c r="L998" s="33"/>
      <c r="M998" s="34"/>
      <c r="N998" t="str">
        <f t="shared" si="15"/>
        <v/>
      </c>
    </row>
    <row r="999" spans="12:14">
      <c r="L999" s="33"/>
      <c r="M999" s="34"/>
      <c r="N999" t="str">
        <f t="shared" si="15"/>
        <v/>
      </c>
    </row>
    <row r="1000" spans="12:14">
      <c r="L1000" s="33"/>
      <c r="M1000" s="34"/>
      <c r="N1000" t="str">
        <f t="shared" si="15"/>
        <v/>
      </c>
    </row>
  </sheetData>
  <phoneticPr fontId="15"/>
  <conditionalFormatting sqref="A2:N402 A403:B403 D403:N403 A404:E404 G404:N404 A405:N1000">
    <cfRule type="expression" dxfId="6" priority="1">
      <formula>$L2="取消／欠番"</formula>
    </cfRule>
    <cfRule type="expression" dxfId="5" priority="2">
      <formula>$L2="廃止"</formula>
    </cfRule>
    <cfRule type="expression" dxfId="4" priority="3">
      <formula>$L2="要確認"</formula>
    </cfRule>
  </conditionalFormatting>
  <conditionalFormatting sqref="E2:E1000">
    <cfRule type="expression" dxfId="3" priority="4">
      <formula>AND($E2&lt;&gt;"",COUNTIF($E$2:$E$1000,$E2)&gt;1)</formula>
    </cfRule>
  </conditionalFormatting>
  <conditionalFormatting sqref="F404">
    <cfRule type="expression" dxfId="2" priority="8">
      <formula>$L403="取消／欠番"</formula>
    </cfRule>
    <cfRule type="expression" dxfId="1" priority="9">
      <formula>$L403="廃止"</formula>
    </cfRule>
    <cfRule type="expression" dxfId="0" priority="10">
      <formula>$L403="要確認"</formula>
    </cfRule>
  </conditionalFormatting>
  <dataValidations count="1">
    <dataValidation type="list" sqref="L2:L402 L404:L1000" xr:uid="{00000000-0002-0000-0700-000000000000}">
      <formula1>"有効,取消／欠番,無効,廃止,要確認"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"/>
  <sheetViews>
    <sheetView workbookViewId="0">
      <selection activeCell="A4" sqref="A4"/>
    </sheetView>
  </sheetViews>
  <sheetFormatPr defaultRowHeight="18.75"/>
  <cols>
    <col min="1" max="1" width="9.625" style="27" customWidth="1"/>
    <col min="2" max="2" width="11.75" style="27" customWidth="1"/>
    <col min="3" max="3" width="21.375" style="27" customWidth="1"/>
    <col min="4" max="4" width="8.75" style="27" customWidth="1"/>
    <col min="5" max="5" width="3.375" style="27" customWidth="1"/>
    <col min="6" max="6" width="7.125" style="27" customWidth="1"/>
    <col min="7" max="7" width="10.875" style="27" customWidth="1"/>
    <col min="8" max="8" width="7.5" style="27" customWidth="1"/>
    <col min="9" max="9" width="11" style="27" customWidth="1"/>
  </cols>
  <sheetData>
    <row r="1" spans="1:9">
      <c r="A1" t="s">
        <v>429</v>
      </c>
      <c r="B1" t="s">
        <v>430</v>
      </c>
      <c r="C1" t="s">
        <v>431</v>
      </c>
      <c r="D1" t="s">
        <v>1320</v>
      </c>
      <c r="E1" t="s">
        <v>1321</v>
      </c>
      <c r="F1" t="s">
        <v>1322</v>
      </c>
      <c r="G1" t="s">
        <v>1323</v>
      </c>
      <c r="H1" t="s">
        <v>436</v>
      </c>
      <c r="I1" t="s">
        <v>437</v>
      </c>
    </row>
    <row r="2" spans="1:9">
      <c r="A2" t="s">
        <v>302</v>
      </c>
      <c r="B2" t="s">
        <v>53</v>
      </c>
      <c r="C2" t="s">
        <v>303</v>
      </c>
      <c r="D2" t="s">
        <v>1324</v>
      </c>
      <c r="E2" t="s">
        <v>1212</v>
      </c>
      <c r="F2" t="s">
        <v>1325</v>
      </c>
      <c r="G2" t="s">
        <v>1325</v>
      </c>
      <c r="H2" t="s">
        <v>29</v>
      </c>
      <c r="I2" t="s">
        <v>1326</v>
      </c>
    </row>
    <row r="3" spans="1:9">
      <c r="A3" s="19" t="s">
        <v>1482</v>
      </c>
      <c r="B3" t="s">
        <v>53</v>
      </c>
      <c r="C3" t="s">
        <v>307</v>
      </c>
      <c r="D3" t="s">
        <v>1327</v>
      </c>
      <c r="E3" t="s">
        <v>1328</v>
      </c>
      <c r="F3" t="s">
        <v>1325</v>
      </c>
      <c r="G3" t="s">
        <v>1325</v>
      </c>
      <c r="H3" t="s">
        <v>29</v>
      </c>
      <c r="I3" t="s">
        <v>1326</v>
      </c>
    </row>
  </sheetData>
  <phoneticPr fontId="1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96"/>
  <sheetViews>
    <sheetView workbookViewId="0">
      <pane ySplit="1" topLeftCell="A71" activePane="bottomLeft" state="frozen"/>
      <selection pane="bottomLeft" activeCell="J80" sqref="J80"/>
    </sheetView>
  </sheetViews>
  <sheetFormatPr defaultRowHeight="18.75"/>
  <cols>
    <col min="2" max="2" width="14.75" style="27" customWidth="1"/>
    <col min="4" max="4" width="11.75" style="27" customWidth="1"/>
    <col min="6" max="6" width="15.5" style="27" customWidth="1"/>
    <col min="7" max="7" width="10.75" style="27" customWidth="1"/>
    <col min="8" max="8" width="14" style="27" customWidth="1"/>
  </cols>
  <sheetData>
    <row r="1" spans="1:11">
      <c r="A1" t="s">
        <v>1329</v>
      </c>
      <c r="B1" t="s">
        <v>1330</v>
      </c>
      <c r="C1" t="s">
        <v>1331</v>
      </c>
      <c r="D1" t="s">
        <v>1332</v>
      </c>
      <c r="E1" t="s">
        <v>1333</v>
      </c>
      <c r="F1" t="s">
        <v>1334</v>
      </c>
      <c r="G1" t="s">
        <v>433</v>
      </c>
      <c r="H1" t="s">
        <v>434</v>
      </c>
      <c r="I1" t="s">
        <v>435</v>
      </c>
      <c r="J1" t="s">
        <v>436</v>
      </c>
      <c r="K1" t="s">
        <v>437</v>
      </c>
    </row>
    <row r="2" spans="1:11">
      <c r="A2" t="str">
        <f>IFERROR(INDEX(T項目!$A:$A,MATCH(アイテムビューア!$C2,T項目!$D:$D,0)),"")</f>
        <v>S-001</v>
      </c>
      <c r="B2" t="str">
        <f>IFERROR(INDEX(S項目!$B:$B,MATCH(アイテムビューア!$A2,S項目!$A:$A,0)),"")</f>
        <v>玄関棚</v>
      </c>
      <c r="C2" t="str">
        <f>IFERROR(INDEX(C項目!$A:$A,MATCH(アイテムビューア!$E2,C項目!$D:$D,0)),"")</f>
        <v>T-0103</v>
      </c>
      <c r="D2" t="str">
        <f>IFERROR(INDEX(T項目!$E:$E,MATCH(アイテムビューア!$C2,T項目!$D:$D,0)),"")</f>
        <v>上段二段目</v>
      </c>
      <c r="E2" t="str">
        <f>アイテム項目!$A2</f>
        <v>C-010301</v>
      </c>
      <c r="F2" t="str">
        <f>IFERROR(INDEX(C項目!$E:$E,MATCH(アイテムビューア!$E2,C項目!$D:$D,0)),"")</f>
        <v>接着剤ケース</v>
      </c>
      <c r="G2" t="str">
        <f>アイテム項目!$E2</f>
        <v>I-00001</v>
      </c>
      <c r="H2" t="str">
        <f>アイテム項目!$F2</f>
        <v>瞬間接着剤</v>
      </c>
      <c r="I2" t="str">
        <f>アイテム項目!$G2</f>
        <v>接着</v>
      </c>
      <c r="J2" t="str">
        <f>アイテム項目!$H2</f>
        <v>B</v>
      </c>
      <c r="K2" t="str">
        <f>アイテム項目!$I2</f>
        <v>白黒・白赤小パッケージ計3点、ミニチューブ3本入り含む</v>
      </c>
    </row>
    <row r="3" spans="1:11">
      <c r="A3" t="str">
        <f>IFERROR(INDEX(T項目!$A:$A,MATCH(アイテムビューア!$C3,T項目!$D:$D,0)),"")</f>
        <v>S-001</v>
      </c>
      <c r="B3" t="str">
        <f>IFERROR(INDEX(S項目!$B:$B,MATCH(アイテムビューア!$A3,S項目!$A:$A,0)),"")</f>
        <v>玄関棚</v>
      </c>
      <c r="C3" t="str">
        <f>IFERROR(INDEX(C項目!$A:$A,MATCH(アイテムビューア!$E3,C項目!$D:$D,0)),"")</f>
        <v>T-0103</v>
      </c>
      <c r="D3" t="str">
        <f>IFERROR(INDEX(T項目!$E:$E,MATCH(アイテムビューア!$C3,T項目!$D:$D,0)),"")</f>
        <v>上段二段目</v>
      </c>
      <c r="E3" t="str">
        <f>アイテム項目!$A3</f>
        <v>C-010301</v>
      </c>
      <c r="F3" t="str">
        <f>IFERROR(INDEX(C項目!$E:$E,MATCH(アイテムビューア!$E3,C項目!$D:$D,0)),"")</f>
        <v>接着剤ケース</v>
      </c>
      <c r="G3" t="str">
        <f>アイテム項目!$E3</f>
        <v>I-00002</v>
      </c>
      <c r="H3" t="str">
        <f>アイテム項目!$F3</f>
        <v>エポキシ2液混合接着剤</v>
      </c>
      <c r="I3" t="str">
        <f>アイテム項目!$G3</f>
        <v>接着</v>
      </c>
      <c r="J3" t="str">
        <f>アイテム項目!$H3</f>
        <v>B</v>
      </c>
      <c r="K3" t="str">
        <f>アイテム項目!$I3</f>
        <v>赤オレンジ・オレンジ黒赤台紙パッケージ計4点</v>
      </c>
    </row>
    <row r="4" spans="1:11">
      <c r="A4" t="str">
        <f>IFERROR(INDEX(T項目!$A:$A,MATCH(アイテムビューア!$C4,T項目!$D:$D,0)),"")</f>
        <v>S-001</v>
      </c>
      <c r="B4" t="str">
        <f>IFERROR(INDEX(S項目!$B:$B,MATCH(アイテムビューア!$A4,S項目!$A:$A,0)),"")</f>
        <v>玄関棚</v>
      </c>
      <c r="C4" t="str">
        <f>IFERROR(INDEX(C項目!$A:$A,MATCH(アイテムビューア!$E4,C項目!$D:$D,0)),"")</f>
        <v>T-0103</v>
      </c>
      <c r="D4" t="str">
        <f>IFERROR(INDEX(T項目!$E:$E,MATCH(アイテムビューア!$C4,T項目!$D:$D,0)),"")</f>
        <v>上段二段目</v>
      </c>
      <c r="E4" t="str">
        <f>アイテム項目!$A4</f>
        <v>C-010301</v>
      </c>
      <c r="F4" t="str">
        <f>IFERROR(INDEX(C項目!$E:$E,MATCH(アイテムビューア!$E4,C項目!$D:$D,0)),"")</f>
        <v>接着剤ケース</v>
      </c>
      <c r="G4" t="str">
        <f>アイテム項目!$E4</f>
        <v>I-00003</v>
      </c>
      <c r="H4" t="str">
        <f>アイテム項目!$F4</f>
        <v>強力接着剤チューブ</v>
      </c>
      <c r="I4" t="str">
        <f>アイテム項目!$G4</f>
        <v>接着</v>
      </c>
      <c r="J4" t="str">
        <f>アイテム項目!$H4</f>
        <v>B</v>
      </c>
      <c r="K4" t="str">
        <f>アイテム項目!$I4</f>
        <v>カゴ内、2本セット×2種類</v>
      </c>
    </row>
    <row r="5" spans="1:11">
      <c r="A5" t="str">
        <f>IFERROR(INDEX(T項目!$A:$A,MATCH(アイテムビューア!$C5,T項目!$D:$D,0)),"")</f>
        <v>S-001</v>
      </c>
      <c r="B5" t="str">
        <f>IFERROR(INDEX(S項目!$B:$B,MATCH(アイテムビューア!$A5,S項目!$A:$A,0)),"")</f>
        <v>玄関棚</v>
      </c>
      <c r="C5" t="str">
        <f>IFERROR(INDEX(C項目!$A:$A,MATCH(アイテムビューア!$E5,C項目!$D:$D,0)),"")</f>
        <v>T-0103</v>
      </c>
      <c r="D5" t="str">
        <f>IFERROR(INDEX(T項目!$E:$E,MATCH(アイテムビューア!$C5,T項目!$D:$D,0)),"")</f>
        <v>上段二段目</v>
      </c>
      <c r="E5" t="str">
        <f>アイテム項目!$A5</f>
        <v>C-010301</v>
      </c>
      <c r="F5" t="str">
        <f>IFERROR(INDEX(C項目!$E:$E,MATCH(アイテムビューア!$E5,C項目!$D:$D,0)),"")</f>
        <v>接着剤ケース</v>
      </c>
      <c r="G5" t="str">
        <f>アイテム項目!$E5</f>
        <v>I-00004</v>
      </c>
      <c r="H5" t="str">
        <f>アイテム項目!$F5</f>
        <v>多用途ボンド</v>
      </c>
      <c r="I5" t="str">
        <f>アイテム項目!$G5</f>
        <v>接着</v>
      </c>
      <c r="J5" t="str">
        <f>アイテム項目!$H5</f>
        <v>B</v>
      </c>
      <c r="K5" t="str">
        <f>アイテム項目!$I5</f>
        <v>カゴ内、大きめチューブ</v>
      </c>
    </row>
    <row r="6" spans="1:11">
      <c r="A6" t="str">
        <f>IFERROR(INDEX(T項目!$A:$A,MATCH(アイテムビューア!$C6,T項目!$D:$D,0)),"")</f>
        <v>S-001</v>
      </c>
      <c r="B6" t="str">
        <f>IFERROR(INDEX(S項目!$B:$B,MATCH(アイテムビューア!$A6,S項目!$A:$A,0)),"")</f>
        <v>玄関棚</v>
      </c>
      <c r="C6" t="str">
        <f>IFERROR(INDEX(C項目!$A:$A,MATCH(アイテムビューア!$E6,C項目!$D:$D,0)),"")</f>
        <v>T-0103</v>
      </c>
      <c r="D6" t="str">
        <f>IFERROR(INDEX(T項目!$E:$E,MATCH(アイテムビューア!$C6,T項目!$D:$D,0)),"")</f>
        <v>上段二段目</v>
      </c>
      <c r="E6" t="str">
        <f>アイテム項目!$A6</f>
        <v>C-010301</v>
      </c>
      <c r="F6" t="str">
        <f>IFERROR(INDEX(C項目!$E:$E,MATCH(アイテムビューア!$E6,C項目!$D:$D,0)),"")</f>
        <v>接着剤ケース</v>
      </c>
      <c r="G6" t="str">
        <f>アイテム項目!$E6</f>
        <v>I-00005</v>
      </c>
      <c r="H6" t="str">
        <f>アイテム項目!$F6</f>
        <v>うるし</v>
      </c>
      <c r="I6" t="str">
        <f>アイテム項目!$G6</f>
        <v>塗装</v>
      </c>
      <c r="J6" t="str">
        <f>アイテム項目!$H6</f>
        <v>B</v>
      </c>
      <c r="K6" t="str">
        <f>アイテム項目!$I6</f>
        <v>カゴ内、オレンジパッケージ</v>
      </c>
    </row>
    <row r="7" spans="1:11">
      <c r="A7" t="str">
        <f>IFERROR(INDEX(T項目!$A:$A,MATCH(アイテムビューア!$C7,T項目!$D:$D,0)),"")</f>
        <v>S-001</v>
      </c>
      <c r="B7" t="str">
        <f>IFERROR(INDEX(S項目!$B:$B,MATCH(アイテムビューア!$A7,S項目!$A:$A,0)),"")</f>
        <v>玄関棚</v>
      </c>
      <c r="C7" t="str">
        <f>IFERROR(INDEX(C項目!$A:$A,MATCH(アイテムビューア!$E7,C項目!$D:$D,0)),"")</f>
        <v>T-0102</v>
      </c>
      <c r="D7" t="str">
        <f>IFERROR(INDEX(T項目!$E:$E,MATCH(アイテムビューア!$C7,T項目!$D:$D,0)),"")</f>
        <v>上段一段目</v>
      </c>
      <c r="E7" t="str">
        <f>アイテム項目!$A7</f>
        <v>C-010201</v>
      </c>
      <c r="F7" t="str">
        <f>IFERROR(INDEX(C項目!$E:$E,MATCH(アイテムビューア!$E7,C項目!$D:$D,0)),"")</f>
        <v>小物トレー・カゴ</v>
      </c>
      <c r="G7" t="str">
        <f>アイテム項目!$E7</f>
        <v>I-00006</v>
      </c>
      <c r="H7" t="str">
        <f>アイテム項目!$F7</f>
        <v>ペン類</v>
      </c>
      <c r="I7" t="str">
        <f>アイテム項目!$G7</f>
        <v>文房具</v>
      </c>
      <c r="J7" t="str">
        <f>アイテム項目!$H7</f>
        <v>B</v>
      </c>
      <c r="K7" t="str">
        <f>アイテム項目!$I7</f>
        <v>ボールペン・シャープ・蛍光ペン等複数本</v>
      </c>
    </row>
    <row r="8" spans="1:11">
      <c r="A8" t="str">
        <f>IFERROR(INDEX(T項目!$A:$A,MATCH(アイテムビューア!$C8,T項目!$D:$D,0)),"")</f>
        <v>S-001</v>
      </c>
      <c r="B8" t="str">
        <f>IFERROR(INDEX(S項目!$B:$B,MATCH(アイテムビューア!$A8,S項目!$A:$A,0)),"")</f>
        <v>玄関棚</v>
      </c>
      <c r="C8" t="str">
        <f>IFERROR(INDEX(C項目!$A:$A,MATCH(アイテムビューア!$E8,C項目!$D:$D,0)),"")</f>
        <v>T-0102</v>
      </c>
      <c r="D8" t="str">
        <f>IFERROR(INDEX(T項目!$E:$E,MATCH(アイテムビューア!$C8,T項目!$D:$D,0)),"")</f>
        <v>上段一段目</v>
      </c>
      <c r="E8" t="str">
        <f>アイテム項目!$A8</f>
        <v>C-010201</v>
      </c>
      <c r="F8" t="str">
        <f>IFERROR(INDEX(C項目!$E:$E,MATCH(アイテムビューア!$E8,C項目!$D:$D,0)),"")</f>
        <v>小物トレー・カゴ</v>
      </c>
      <c r="G8" t="str">
        <f>アイテム項目!$E8</f>
        <v>I-00007</v>
      </c>
      <c r="H8" t="str">
        <f>アイテム項目!$F8</f>
        <v>消しゴム</v>
      </c>
      <c r="I8" t="str">
        <f>アイテム項目!$G8</f>
        <v>文房具</v>
      </c>
      <c r="J8" t="str">
        <f>アイテム項目!$H8</f>
        <v>B</v>
      </c>
      <c r="K8" t="str">
        <f>アイテム項目!$I8</f>
        <v>MONOゼロノック式</v>
      </c>
    </row>
    <row r="9" spans="1:11">
      <c r="A9" t="str">
        <f>IFERROR(INDEX(T項目!$A:$A,MATCH(アイテムビューア!$C9,T項目!$D:$D,0)),"")</f>
        <v>S-001</v>
      </c>
      <c r="B9" t="str">
        <f>IFERROR(INDEX(S項目!$B:$B,MATCH(アイテムビューア!$A9,S項目!$A:$A,0)),"")</f>
        <v>玄関棚</v>
      </c>
      <c r="C9" t="str">
        <f>IFERROR(INDEX(C項目!$A:$A,MATCH(アイテムビューア!$E9,C項目!$D:$D,0)),"")</f>
        <v>T-0102</v>
      </c>
      <c r="D9" t="str">
        <f>IFERROR(INDEX(T項目!$E:$E,MATCH(アイテムビューア!$C9,T項目!$D:$D,0)),"")</f>
        <v>上段一段目</v>
      </c>
      <c r="E9" t="str">
        <f>アイテム項目!$A9</f>
        <v>C-010201</v>
      </c>
      <c r="F9" t="str">
        <f>IFERROR(INDEX(C項目!$E:$E,MATCH(アイテムビューア!$E9,C項目!$D:$D,0)),"")</f>
        <v>小物トレー・カゴ</v>
      </c>
      <c r="G9" t="str">
        <f>アイテム項目!$E9</f>
        <v>I-00008</v>
      </c>
      <c r="H9" t="str">
        <f>アイテム項目!$F9</f>
        <v>ハサミ・カッター</v>
      </c>
      <c r="I9" t="str">
        <f>アイテム項目!$G9</f>
        <v>工具</v>
      </c>
      <c r="J9" t="str">
        <f>アイテム項目!$H9</f>
        <v>B</v>
      </c>
      <c r="K9" t="str">
        <f>アイテム項目!$I9</f>
        <v>カッターナイフ含む</v>
      </c>
    </row>
    <row r="10" spans="1:11">
      <c r="A10" t="str">
        <f>IFERROR(INDEX(T項目!$A:$A,MATCH(アイテムビューア!$C10,T項目!$D:$D,0)),"")</f>
        <v>S-001</v>
      </c>
      <c r="B10" t="str">
        <f>IFERROR(INDEX(S項目!$B:$B,MATCH(アイテムビューア!$A10,S項目!$A:$A,0)),"")</f>
        <v>玄関棚</v>
      </c>
      <c r="C10" t="str">
        <f>IFERROR(INDEX(C項目!$A:$A,MATCH(アイテムビューア!$E10,C項目!$D:$D,0)),"")</f>
        <v>T-0102</v>
      </c>
      <c r="D10" t="str">
        <f>IFERROR(INDEX(T項目!$E:$E,MATCH(アイテムビューア!$C10,T項目!$D:$D,0)),"")</f>
        <v>上段一段目</v>
      </c>
      <c r="E10" t="str">
        <f>アイテム項目!$A10</f>
        <v>C-010201</v>
      </c>
      <c r="F10" t="str">
        <f>IFERROR(INDEX(C項目!$E:$E,MATCH(アイテムビューア!$E10,C項目!$D:$D,0)),"")</f>
        <v>小物トレー・カゴ</v>
      </c>
      <c r="G10" t="str">
        <f>アイテム項目!$E10</f>
        <v>I-00009</v>
      </c>
      <c r="H10" t="str">
        <f>アイテム項目!$F10</f>
        <v>つめ切り・爪やすり</v>
      </c>
      <c r="I10" t="str">
        <f>アイテム項目!$G10</f>
        <v>日用品</v>
      </c>
      <c r="J10" t="str">
        <f>アイテム項目!$H10</f>
        <v>B</v>
      </c>
      <c r="K10" t="str">
        <f>アイテム項目!$I10</f>
        <v>台紙付きつめ切り・金属製やすり</v>
      </c>
    </row>
    <row r="11" spans="1:11">
      <c r="A11" t="str">
        <f>IFERROR(INDEX(T項目!$A:$A,MATCH(アイテムビューア!$C11,T項目!$D:$D,0)),"")</f>
        <v>S-001</v>
      </c>
      <c r="B11" t="str">
        <f>IFERROR(INDEX(S項目!$B:$B,MATCH(アイテムビューア!$A11,S項目!$A:$A,0)),"")</f>
        <v>玄関棚</v>
      </c>
      <c r="C11" t="str">
        <f>IFERROR(INDEX(C項目!$A:$A,MATCH(アイテムビューア!$E11,C項目!$D:$D,0)),"")</f>
        <v>T-0102</v>
      </c>
      <c r="D11" t="str">
        <f>IFERROR(INDEX(T項目!$E:$E,MATCH(アイテムビューア!$C11,T項目!$D:$D,0)),"")</f>
        <v>上段一段目</v>
      </c>
      <c r="E11" t="str">
        <f>アイテム項目!$A11</f>
        <v>C-010201</v>
      </c>
      <c r="F11" t="str">
        <f>IFERROR(INDEX(C項目!$E:$E,MATCH(アイテムビューア!$E11,C項目!$D:$D,0)),"")</f>
        <v>小物トレー・カゴ</v>
      </c>
      <c r="G11" t="str">
        <f>アイテム項目!$E11</f>
        <v>I-00010</v>
      </c>
      <c r="H11" t="str">
        <f>アイテム項目!$F11</f>
        <v>クリップ類</v>
      </c>
      <c r="I11" t="str">
        <f>アイテム項目!$G11</f>
        <v>文房具</v>
      </c>
      <c r="J11" t="str">
        <f>アイテム項目!$H11</f>
        <v>B</v>
      </c>
      <c r="K11" t="str">
        <f>アイテム項目!$I11</f>
        <v>各種クリップ</v>
      </c>
    </row>
    <row r="12" spans="1:11">
      <c r="A12" t="str">
        <f>IFERROR(INDEX(T項目!$A:$A,MATCH(アイテムビューア!$C12,T項目!$D:$D,0)),"")</f>
        <v>S-001</v>
      </c>
      <c r="B12" t="str">
        <f>IFERROR(INDEX(S項目!$B:$B,MATCH(アイテムビューア!$A12,S項目!$A:$A,0)),"")</f>
        <v>玄関棚</v>
      </c>
      <c r="C12" t="str">
        <f>IFERROR(INDEX(C項目!$A:$A,MATCH(アイテムビューア!$E12,C項目!$D:$D,0)),"")</f>
        <v>T-0102</v>
      </c>
      <c r="D12" t="str">
        <f>IFERROR(INDEX(T項目!$E:$E,MATCH(アイテムビューア!$C12,T項目!$D:$D,0)),"")</f>
        <v>上段一段目</v>
      </c>
      <c r="E12" t="str">
        <f>アイテム項目!$A12</f>
        <v>C-010201</v>
      </c>
      <c r="F12" t="str">
        <f>IFERROR(INDEX(C項目!$E:$E,MATCH(アイテムビューア!$E12,C項目!$D:$D,0)),"")</f>
        <v>小物トレー・カゴ</v>
      </c>
      <c r="G12" t="str">
        <f>アイテム項目!$E12</f>
        <v>I-00011</v>
      </c>
      <c r="H12" t="str">
        <f>アイテム項目!$F12</f>
        <v>結束バンド（白）</v>
      </c>
      <c r="I12" t="str">
        <f>アイテム項目!$G12</f>
        <v>電材</v>
      </c>
      <c r="J12" t="str">
        <f>アイテム項目!$H12</f>
        <v>B</v>
      </c>
      <c r="K12" t="str">
        <f>アイテム項目!$I12</f>
        <v>10cm・120本入パッケージ</v>
      </c>
    </row>
    <row r="13" spans="1:11">
      <c r="A13" t="str">
        <f>IFERROR(INDEX(T項目!$A:$A,MATCH(アイテムビューア!$C13,T項目!$D:$D,0)),"")</f>
        <v>S-001</v>
      </c>
      <c r="B13" t="str">
        <f>IFERROR(INDEX(S項目!$B:$B,MATCH(アイテムビューア!$A13,S項目!$A:$A,0)),"")</f>
        <v>玄関棚</v>
      </c>
      <c r="C13" t="str">
        <f>IFERROR(INDEX(C項目!$A:$A,MATCH(アイテムビューア!$E13,C項目!$D:$D,0)),"")</f>
        <v>T-0102</v>
      </c>
      <c r="D13" t="str">
        <f>IFERROR(INDEX(T項目!$E:$E,MATCH(アイテムビューア!$C13,T項目!$D:$D,0)),"")</f>
        <v>上段一段目</v>
      </c>
      <c r="E13" t="str">
        <f>アイテム項目!$A13</f>
        <v>C-010201</v>
      </c>
      <c r="F13" t="str">
        <f>IFERROR(INDEX(C項目!$E:$E,MATCH(アイテムビューア!$E13,C項目!$D:$D,0)),"")</f>
        <v>小物トレー・カゴ</v>
      </c>
      <c r="G13" t="str">
        <f>アイテム項目!$E13</f>
        <v>I-00012</v>
      </c>
      <c r="H13" t="str">
        <f>アイテム項目!$F13</f>
        <v>小ネジボックス</v>
      </c>
      <c r="I13" t="str">
        <f>アイテム項目!$G13</f>
        <v>ネジ</v>
      </c>
      <c r="J13" t="str">
        <f>アイテム項目!$H13</f>
        <v>B</v>
      </c>
      <c r="K13" t="str">
        <f>アイテム項目!$I13</f>
        <v>小ネジ各種入りボックス</v>
      </c>
    </row>
    <row r="14" spans="1:11">
      <c r="A14" t="str">
        <f>IFERROR(INDEX(T項目!$A:$A,MATCH(アイテムビューア!$C14,T項目!$D:$D,0)),"")</f>
        <v>S-001</v>
      </c>
      <c r="B14" t="str">
        <f>IFERROR(INDEX(S項目!$B:$B,MATCH(アイテムビューア!$A14,S項目!$A:$A,0)),"")</f>
        <v>玄関棚</v>
      </c>
      <c r="C14" t="str">
        <f>IFERROR(INDEX(C項目!$A:$A,MATCH(アイテムビューア!$E14,C項目!$D:$D,0)),"")</f>
        <v>T-0102</v>
      </c>
      <c r="D14" t="str">
        <f>IFERROR(INDEX(T項目!$E:$E,MATCH(アイテムビューア!$C14,T項目!$D:$D,0)),"")</f>
        <v>上段一段目</v>
      </c>
      <c r="E14" t="str">
        <f>アイテム項目!$A14</f>
        <v>C-010201</v>
      </c>
      <c r="F14" t="str">
        <f>IFERROR(INDEX(C項目!$E:$E,MATCH(アイテムビューア!$E14,C項目!$D:$D,0)),"")</f>
        <v>小物トレー・カゴ</v>
      </c>
      <c r="G14" t="str">
        <f>アイテム項目!$E14</f>
        <v>I-00013</v>
      </c>
      <c r="H14" t="str">
        <f>アイテム項目!$F14</f>
        <v>両面テープ</v>
      </c>
      <c r="I14" t="str">
        <f>アイテム項目!$G14</f>
        <v>テープ</v>
      </c>
      <c r="J14" t="str">
        <f>アイテム項目!$H14</f>
        <v>B</v>
      </c>
      <c r="K14" t="str">
        <f>アイテム項目!$I14</f>
        <v>パッケージ入り</v>
      </c>
    </row>
    <row r="15" spans="1:11">
      <c r="A15" t="str">
        <f>IFERROR(INDEX(T項目!$A:$A,MATCH(アイテムビューア!$C15,T項目!$D:$D,0)),"")</f>
        <v>S-001</v>
      </c>
      <c r="B15" t="str">
        <f>IFERROR(INDEX(S項目!$B:$B,MATCH(アイテムビューア!$A15,S項目!$A:$A,0)),"")</f>
        <v>玄関棚</v>
      </c>
      <c r="C15" t="str">
        <f>IFERROR(INDEX(C項目!$A:$A,MATCH(アイテムビューア!$E15,C項目!$D:$D,0)),"")</f>
        <v>T-0102</v>
      </c>
      <c r="D15" t="str">
        <f>IFERROR(INDEX(T項目!$E:$E,MATCH(アイテムビューア!$C15,T項目!$D:$D,0)),"")</f>
        <v>上段一段目</v>
      </c>
      <c r="E15" t="str">
        <f>アイテム項目!$A15</f>
        <v>C-010201</v>
      </c>
      <c r="F15" t="str">
        <f>IFERROR(INDEX(C項目!$E:$E,MATCH(アイテムビューア!$E15,C項目!$D:$D,0)),"")</f>
        <v>小物トレー・カゴ</v>
      </c>
      <c r="G15" t="str">
        <f>アイテム項目!$E15</f>
        <v>I-00014</v>
      </c>
      <c r="H15" t="str">
        <f>アイテム項目!$F15</f>
        <v>不明チューブ・容器類</v>
      </c>
      <c r="I15" t="str">
        <f>アイテム項目!$G15</f>
        <v>不明</v>
      </c>
      <c r="J15" t="str">
        <f>アイテム項目!$H15</f>
        <v>B</v>
      </c>
      <c r="K15" t="str">
        <f>アイテム項目!$I15</f>
        <v>白チューブ・青白キャップ容器2点</v>
      </c>
    </row>
    <row r="16" spans="1:11">
      <c r="A16" t="str">
        <f>IFERROR(INDEX(T項目!$A:$A,MATCH(アイテムビューア!$C16,T項目!$D:$D,0)),"")</f>
        <v>S-001</v>
      </c>
      <c r="B16" t="str">
        <f>IFERROR(INDEX(S項目!$B:$B,MATCH(アイテムビューア!$A16,S項目!$A:$A,0)),"")</f>
        <v>玄関棚</v>
      </c>
      <c r="C16" t="str">
        <f>IFERROR(INDEX(C項目!$A:$A,MATCH(アイテムビューア!$E16,C項目!$D:$D,0)),"")</f>
        <v>T-0102</v>
      </c>
      <c r="D16" t="str">
        <f>IFERROR(INDEX(T項目!$E:$E,MATCH(アイテムビューア!$C16,T項目!$D:$D,0)),"")</f>
        <v>上段一段目</v>
      </c>
      <c r="E16" t="str">
        <f>アイテム項目!$A16</f>
        <v>C-010201</v>
      </c>
      <c r="F16" t="str">
        <f>IFERROR(INDEX(C項目!$E:$E,MATCH(アイテムビューア!$E16,C項目!$D:$D,0)),"")</f>
        <v>小物トレー・カゴ</v>
      </c>
      <c r="G16" t="str">
        <f>アイテム項目!$E16</f>
        <v>I-00015</v>
      </c>
      <c r="H16" t="str">
        <f>アイテム項目!$F16</f>
        <v>ハンドグリップ</v>
      </c>
      <c r="I16" t="str">
        <f>アイテム項目!$G16</f>
        <v>運動</v>
      </c>
      <c r="J16" t="str">
        <f>アイテム項目!$H16</f>
        <v>B</v>
      </c>
      <c r="K16" t="str">
        <f>アイテム項目!$I16</f>
        <v>握力トレーニング器具</v>
      </c>
    </row>
    <row r="17" spans="1:11">
      <c r="A17" t="str">
        <f>IFERROR(INDEX(T項目!$A:$A,MATCH(アイテムビューア!$C17,T項目!$D:$D,0)),"")</f>
        <v>S-001</v>
      </c>
      <c r="B17" t="str">
        <f>IFERROR(INDEX(S項目!$B:$B,MATCH(アイテムビューア!$A17,S項目!$A:$A,0)),"")</f>
        <v>玄関棚</v>
      </c>
      <c r="C17" t="str">
        <f>IFERROR(INDEX(C項目!$A:$A,MATCH(アイテムビューア!$E17,C項目!$D:$D,0)),"")</f>
        <v>T-0103</v>
      </c>
      <c r="D17" t="str">
        <f>IFERROR(INDEX(T項目!$E:$E,MATCH(アイテムビューア!$C17,T項目!$D:$D,0)),"")</f>
        <v>上段二段目</v>
      </c>
      <c r="E17" t="str">
        <f>アイテム項目!$A17</f>
        <v>C-010302</v>
      </c>
      <c r="F17" t="str">
        <f>IFERROR(INDEX(C項目!$E:$E,MATCH(アイテムビューア!$E17,C項目!$D:$D,0)),"")</f>
        <v>緑カゴ・小物セット</v>
      </c>
      <c r="G17" t="str">
        <f>アイテム項目!$E17</f>
        <v>I-00016</v>
      </c>
      <c r="H17" t="str">
        <f>アイテム項目!$F17</f>
        <v>黄色ロールテープ</v>
      </c>
      <c r="I17" t="str">
        <f>アイテム項目!$G17</f>
        <v>資材</v>
      </c>
      <c r="J17" t="str">
        <f>アイテム項目!$H17</f>
        <v>B</v>
      </c>
      <c r="K17" t="str">
        <f>アイテム項目!$I17</f>
        <v>15mm幅×20m、粘着なし</v>
      </c>
    </row>
    <row r="18" spans="1:11">
      <c r="A18" t="str">
        <f>IFERROR(INDEX(T項目!$A:$A,MATCH(アイテムビューア!$C18,T項目!$D:$D,0)),"")</f>
        <v>S-001</v>
      </c>
      <c r="B18" t="str">
        <f>IFERROR(INDEX(S項目!$B:$B,MATCH(アイテムビューア!$A18,S項目!$A:$A,0)),"")</f>
        <v>玄関棚</v>
      </c>
      <c r="C18" t="str">
        <f>IFERROR(INDEX(C項目!$A:$A,MATCH(アイテムビューア!$E18,C項目!$D:$D,0)),"")</f>
        <v>T-0103</v>
      </c>
      <c r="D18" t="str">
        <f>IFERROR(INDEX(T項目!$E:$E,MATCH(アイテムビューア!$C18,T項目!$D:$D,0)),"")</f>
        <v>上段二段目</v>
      </c>
      <c r="E18" t="str">
        <f>アイテム項目!$A18</f>
        <v>C-010302</v>
      </c>
      <c r="F18" t="str">
        <f>IFERROR(INDEX(C項目!$E:$E,MATCH(アイテムビューア!$E18,C項目!$D:$D,0)),"")</f>
        <v>緑カゴ・小物セット</v>
      </c>
      <c r="G18" t="str">
        <f>アイテム項目!$E18</f>
        <v>I-00017</v>
      </c>
      <c r="H18" t="str">
        <f>アイテム項目!$F18</f>
        <v>敷居スベリ</v>
      </c>
      <c r="I18" t="str">
        <f>アイテム項目!$G18</f>
        <v>資材</v>
      </c>
      <c r="J18" t="str">
        <f>アイテム項目!$H18</f>
        <v>B</v>
      </c>
      <c r="K18" t="str">
        <f>アイテム項目!$I18</f>
        <v>白青パッケージ</v>
      </c>
    </row>
    <row r="19" spans="1:11">
      <c r="A19" t="str">
        <f>IFERROR(INDEX(T項目!$A:$A,MATCH(アイテムビューア!$C19,T項目!$D:$D,0)),"")</f>
        <v>S-001</v>
      </c>
      <c r="B19" t="str">
        <f>IFERROR(INDEX(S項目!$B:$B,MATCH(アイテムビューア!$A19,S項目!$A:$A,0)),"")</f>
        <v>玄関棚</v>
      </c>
      <c r="C19" t="str">
        <f>IFERROR(INDEX(C項目!$A:$A,MATCH(アイテムビューア!$E19,C項目!$D:$D,0)),"")</f>
        <v>T-0103</v>
      </c>
      <c r="D19" t="str">
        <f>IFERROR(INDEX(T項目!$E:$E,MATCH(アイテムビューア!$C19,T項目!$D:$D,0)),"")</f>
        <v>上段二段目</v>
      </c>
      <c r="E19" t="str">
        <f>アイテム項目!$A19</f>
        <v>C-010302</v>
      </c>
      <c r="F19" t="str">
        <f>IFERROR(INDEX(C項目!$E:$E,MATCH(アイテムビューア!$E19,C項目!$D:$D,0)),"")</f>
        <v>緑カゴ・小物セット</v>
      </c>
      <c r="G19" t="str">
        <f>アイテム項目!$E19</f>
        <v>I-00018</v>
      </c>
      <c r="H19" t="str">
        <f>アイテム項目!$F19</f>
        <v>ケーブル類</v>
      </c>
      <c r="I19" t="str">
        <f>アイテム項目!$G19</f>
        <v>電材</v>
      </c>
      <c r="J19" t="str">
        <f>アイテム項目!$H19</f>
        <v>B</v>
      </c>
      <c r="K19" t="str">
        <f>アイテム項目!$I19</f>
        <v>白インナーケース、USBケーブル・電源コード等</v>
      </c>
    </row>
    <row r="20" spans="1:11">
      <c r="A20" t="str">
        <f>IFERROR(INDEX(T項目!$A:$A,MATCH(アイテムビューア!$C20,T項目!$D:$D,0)),"")</f>
        <v>S-001</v>
      </c>
      <c r="B20" t="str">
        <f>IFERROR(INDEX(S項目!$B:$B,MATCH(アイテムビューア!$A20,S項目!$A:$A,0)),"")</f>
        <v>玄関棚</v>
      </c>
      <c r="C20" t="str">
        <f>IFERROR(INDEX(C項目!$A:$A,MATCH(アイテムビューア!$E20,C項目!$D:$D,0)),"")</f>
        <v>T-0103</v>
      </c>
      <c r="D20" t="str">
        <f>IFERROR(INDEX(T項目!$E:$E,MATCH(アイテムビューア!$C20,T項目!$D:$D,0)),"")</f>
        <v>上段二段目</v>
      </c>
      <c r="E20" t="str">
        <f>アイテム項目!$A20</f>
        <v>C-010302</v>
      </c>
      <c r="F20" t="str">
        <f>IFERROR(INDEX(C項目!$E:$E,MATCH(アイテムビューア!$E20,C項目!$D:$D,0)),"")</f>
        <v>緑カゴ・小物セット</v>
      </c>
      <c r="G20" t="str">
        <f>アイテム項目!$E20</f>
        <v>I-00019</v>
      </c>
      <c r="H20" t="str">
        <f>アイテム項目!$F20</f>
        <v>ケーブル固定具</v>
      </c>
      <c r="I20" t="str">
        <f>アイテム項目!$G20</f>
        <v>電材</v>
      </c>
      <c r="J20" t="str">
        <f>アイテム項目!$H20</f>
        <v>B</v>
      </c>
      <c r="K20" t="str">
        <f>アイテム項目!$I20</f>
        <v>白黒パーツ、ビニール袋入り・袋外に数点</v>
      </c>
    </row>
    <row r="21" spans="1:11">
      <c r="A21" t="str">
        <f>IFERROR(INDEX(T項目!$A:$A,MATCH(アイテムビューア!$C21,T項目!$D:$D,0)),"")</f>
        <v>S-001</v>
      </c>
      <c r="B21" t="str">
        <f>IFERROR(INDEX(S項目!$B:$B,MATCH(アイテムビューア!$A21,S項目!$A:$A,0)),"")</f>
        <v>玄関棚</v>
      </c>
      <c r="C21" t="str">
        <f>IFERROR(INDEX(C項目!$A:$A,MATCH(アイテムビューア!$E21,C項目!$D:$D,0)),"")</f>
        <v>T-0103</v>
      </c>
      <c r="D21" t="str">
        <f>IFERROR(INDEX(T項目!$E:$E,MATCH(アイテムビューア!$C21,T項目!$D:$D,0)),"")</f>
        <v>上段二段目</v>
      </c>
      <c r="E21" t="str">
        <f>アイテム項目!$A21</f>
        <v>C-010302</v>
      </c>
      <c r="F21" t="str">
        <f>IFERROR(INDEX(C項目!$E:$E,MATCH(アイテムビューア!$E21,C項目!$D:$D,0)),"")</f>
        <v>緑カゴ・小物セット</v>
      </c>
      <c r="G21" t="str">
        <f>アイテム項目!$E21</f>
        <v>I-00020</v>
      </c>
      <c r="H21" t="str">
        <f>アイテム項目!$F21</f>
        <v>透明ケース類</v>
      </c>
      <c r="I21" t="str">
        <f>アイテム項目!$G21</f>
        <v>不明</v>
      </c>
      <c r="J21" t="str">
        <f>アイテム項目!$H21</f>
        <v>B</v>
      </c>
      <c r="K21" t="str">
        <f>アイテム項目!$I21</f>
        <v>複数枚重なり</v>
      </c>
    </row>
    <row r="22" spans="1:11">
      <c r="A22" t="str">
        <f>IFERROR(INDEX(T項目!$A:$A,MATCH(アイテムビューア!$C22,T項目!$D:$D,0)),"")</f>
        <v>S-001</v>
      </c>
      <c r="B22" t="str">
        <f>IFERROR(INDEX(S項目!$B:$B,MATCH(アイテムビューア!$A22,S項目!$A:$A,0)),"")</f>
        <v>玄関棚</v>
      </c>
      <c r="C22" t="str">
        <f>IFERROR(INDEX(C項目!$A:$A,MATCH(アイテムビューア!$E22,C項目!$D:$D,0)),"")</f>
        <v>T-0103</v>
      </c>
      <c r="D22" t="str">
        <f>IFERROR(INDEX(T項目!$E:$E,MATCH(アイテムビューア!$C22,T項目!$D:$D,0)),"")</f>
        <v>上段二段目</v>
      </c>
      <c r="E22" t="str">
        <f>アイテム項目!$A22</f>
        <v>C-010302</v>
      </c>
      <c r="F22" t="str">
        <f>IFERROR(INDEX(C項目!$E:$E,MATCH(アイテムビューア!$E22,C項目!$D:$D,0)),"")</f>
        <v>緑カゴ・小物セット</v>
      </c>
      <c r="G22" t="str">
        <f>アイテム項目!$E22</f>
        <v>I-00021</v>
      </c>
      <c r="H22" t="str">
        <f>アイテム項目!$F22</f>
        <v>黒ジッパーポーチ</v>
      </c>
      <c r="I22" t="str">
        <f>アイテム項目!$G22</f>
        <v>不明</v>
      </c>
      <c r="J22" t="str">
        <f>アイテム項目!$H22</f>
        <v>B</v>
      </c>
      <c r="K22" t="str">
        <f>アイテム項目!$I22</f>
        <v>中身不明</v>
      </c>
    </row>
    <row r="23" spans="1:11">
      <c r="A23" t="str">
        <f>IFERROR(INDEX(T項目!$A:$A,MATCH(アイテムビューア!$C23,T項目!$D:$D,0)),"")</f>
        <v>S-001</v>
      </c>
      <c r="B23" t="str">
        <f>IFERROR(INDEX(S項目!$B:$B,MATCH(アイテムビューア!$A23,S項目!$A:$A,0)),"")</f>
        <v>玄関棚</v>
      </c>
      <c r="C23" t="str">
        <f>IFERROR(INDEX(C項目!$A:$A,MATCH(アイテムビューア!$E23,C項目!$D:$D,0)),"")</f>
        <v>T-0103</v>
      </c>
      <c r="D23" t="str">
        <f>IFERROR(INDEX(T項目!$E:$E,MATCH(アイテムビューア!$C23,T項目!$D:$D,0)),"")</f>
        <v>上段二段目</v>
      </c>
      <c r="E23" t="str">
        <f>アイテム項目!$A23</f>
        <v>C-010302</v>
      </c>
      <c r="F23" t="str">
        <f>IFERROR(INDEX(C項目!$E:$E,MATCH(アイテムビューア!$E23,C項目!$D:$D,0)),"")</f>
        <v>緑カゴ・小物セット</v>
      </c>
      <c r="G23" t="str">
        <f>アイテム項目!$E23</f>
        <v>I-00022</v>
      </c>
      <c r="H23" t="str">
        <f>アイテム項目!$F23</f>
        <v>白板状の物</v>
      </c>
      <c r="I23" t="str">
        <f>アイテム項目!$G23</f>
        <v>不明</v>
      </c>
      <c r="J23" t="str">
        <f>アイテム項目!$H23</f>
        <v>B</v>
      </c>
      <c r="K23" t="str">
        <f>アイテム項目!$I23</f>
        <v>カード状</v>
      </c>
    </row>
    <row r="24" spans="1:11">
      <c r="A24" t="str">
        <f>IFERROR(INDEX(T項目!$A:$A,MATCH(アイテムビューア!$C24,T項目!$D:$D,0)),"")</f>
        <v>S-001</v>
      </c>
      <c r="B24" t="str">
        <f>IFERROR(INDEX(S項目!$B:$B,MATCH(アイテムビューア!$A24,S項目!$A:$A,0)),"")</f>
        <v>玄関棚</v>
      </c>
      <c r="C24" t="str">
        <f>IFERROR(INDEX(C項目!$A:$A,MATCH(アイテムビューア!$E24,C項目!$D:$D,0)),"")</f>
        <v>T-0103</v>
      </c>
      <c r="D24" t="str">
        <f>IFERROR(INDEX(T項目!$E:$E,MATCH(アイテムビューア!$C24,T項目!$D:$D,0)),"")</f>
        <v>上段二段目</v>
      </c>
      <c r="E24" t="str">
        <f>アイテム項目!$A24</f>
        <v>C-010302</v>
      </c>
      <c r="F24" t="str">
        <f>IFERROR(INDEX(C項目!$E:$E,MATCH(アイテムビューア!$E24,C項目!$D:$D,0)),"")</f>
        <v>緑カゴ・小物セット</v>
      </c>
      <c r="G24" t="str">
        <f>アイテム項目!$E24</f>
        <v>I-00023</v>
      </c>
      <c r="H24" t="str">
        <f>アイテム項目!$F24</f>
        <v>黒V字型器具</v>
      </c>
      <c r="I24" t="str">
        <f>アイテム項目!$G24</f>
        <v>不明</v>
      </c>
      <c r="J24" t="str">
        <f>アイテム項目!$H24</f>
        <v>B</v>
      </c>
      <c r="K24" t="str">
        <f>アイテム項目!$I24</f>
        <v>用途不明</v>
      </c>
    </row>
    <row r="25" spans="1:11">
      <c r="A25" t="str">
        <f>IFERROR(INDEX(T項目!$A:$A,MATCH(アイテムビューア!$C25,T項目!$D:$D,0)),"")</f>
        <v>S-001</v>
      </c>
      <c r="B25" t="str">
        <f>IFERROR(INDEX(S項目!$B:$B,MATCH(アイテムビューア!$A25,S項目!$A:$A,0)),"")</f>
        <v>玄関棚</v>
      </c>
      <c r="C25" t="str">
        <f>IFERROR(INDEX(C項目!$A:$A,MATCH(アイテムビューア!$E25,C項目!$D:$D,0)),"")</f>
        <v>T-0104</v>
      </c>
      <c r="D25" t="str">
        <f>IFERROR(INDEX(T項目!$E:$E,MATCH(アイテムビューア!$C25,T項目!$D:$D,0)),"")</f>
        <v>上段三段目</v>
      </c>
      <c r="E25" t="str">
        <f>アイテム項目!$A25</f>
        <v>C-010401</v>
      </c>
      <c r="F25" t="str">
        <f>IFERROR(INDEX(C項目!$E:$E,MATCH(アイテムビューア!$E25,C項目!$D:$D,0)),"")</f>
        <v>水色引き出し①左列</v>
      </c>
      <c r="G25" t="str">
        <f>アイテム項目!$E25</f>
        <v>I-00024</v>
      </c>
      <c r="H25" t="str">
        <f>アイテム項目!$F25</f>
        <v>マグネットフック</v>
      </c>
      <c r="I25" t="str">
        <f>アイテム項目!$G25</f>
        <v>小物</v>
      </c>
      <c r="J25" t="str">
        <f>アイテム項目!$H25</f>
        <v>B</v>
      </c>
      <c r="K25" t="str">
        <f>アイテム項目!$I25</f>
        <v>白丸型4点、うち2点黄色マーク</v>
      </c>
    </row>
    <row r="26" spans="1:11">
      <c r="A26" t="str">
        <f>IFERROR(INDEX(T項目!$A:$A,MATCH(アイテムビューア!$C26,T項目!$D:$D,0)),"")</f>
        <v>S-001</v>
      </c>
      <c r="B26" t="str">
        <f>IFERROR(INDEX(S項目!$B:$B,MATCH(アイテムビューア!$A26,S項目!$A:$A,0)),"")</f>
        <v>玄関棚</v>
      </c>
      <c r="C26" t="str">
        <f>IFERROR(INDEX(C項目!$A:$A,MATCH(アイテムビューア!$E26,C項目!$D:$D,0)),"")</f>
        <v>T-0104</v>
      </c>
      <c r="D26" t="str">
        <f>IFERROR(INDEX(T項目!$E:$E,MATCH(アイテムビューア!$C26,T項目!$D:$D,0)),"")</f>
        <v>上段三段目</v>
      </c>
      <c r="E26" t="str">
        <f>アイテム項目!$A26</f>
        <v>C-010401</v>
      </c>
      <c r="F26" t="str">
        <f>IFERROR(INDEX(C項目!$E:$E,MATCH(アイテムビューア!$E26,C項目!$D:$D,0)),"")</f>
        <v>水色引き出し①左列</v>
      </c>
      <c r="G26" t="str">
        <f>アイテム項目!$E26</f>
        <v>I-00025</v>
      </c>
      <c r="H26" t="str">
        <f>アイテム項目!$F26</f>
        <v>USBメモリ</v>
      </c>
      <c r="I26" t="str">
        <f>アイテム項目!$G26</f>
        <v>電材</v>
      </c>
      <c r="J26" t="str">
        <f>アイテム項目!$H26</f>
        <v>B</v>
      </c>
      <c r="K26" t="str">
        <f>アイテム項目!$I26</f>
        <v>白1点・黒1点</v>
      </c>
    </row>
    <row r="27" spans="1:11">
      <c r="A27" t="str">
        <f>IFERROR(INDEX(T項目!$A:$A,MATCH(アイテムビューア!$C27,T項目!$D:$D,0)),"")</f>
        <v>S-001</v>
      </c>
      <c r="B27" t="str">
        <f>IFERROR(INDEX(S項目!$B:$B,MATCH(アイテムビューア!$A27,S項目!$A:$A,0)),"")</f>
        <v>玄関棚</v>
      </c>
      <c r="C27" t="str">
        <f>IFERROR(INDEX(C項目!$A:$A,MATCH(アイテムビューア!$E27,C項目!$D:$D,0)),"")</f>
        <v>T-0104</v>
      </c>
      <c r="D27" t="str">
        <f>IFERROR(INDEX(T項目!$E:$E,MATCH(アイテムビューア!$C27,T項目!$D:$D,0)),"")</f>
        <v>上段三段目</v>
      </c>
      <c r="E27" t="str">
        <f>アイテム項目!$A27</f>
        <v>C-010401</v>
      </c>
      <c r="F27" t="str">
        <f>IFERROR(INDEX(C項目!$E:$E,MATCH(アイテムビューア!$E27,C項目!$D:$D,0)),"")</f>
        <v>水色引き出し①左列</v>
      </c>
      <c r="G27" t="str">
        <f>アイテム項目!$E27</f>
        <v>I-00026</v>
      </c>
      <c r="H27" t="str">
        <f>アイテム項目!$F27</f>
        <v>eneloop充電器</v>
      </c>
      <c r="I27" t="str">
        <f>アイテム項目!$G27</f>
        <v>電材</v>
      </c>
      <c r="J27" t="str">
        <f>アイテム項目!$H27</f>
        <v>B</v>
      </c>
      <c r="K27" t="str">
        <f>アイテム項目!$I27</f>
        <v>白色</v>
      </c>
    </row>
    <row r="28" spans="1:11">
      <c r="A28" t="str">
        <f>IFERROR(INDEX(T項目!$A:$A,MATCH(アイテムビューア!$C28,T項目!$D:$D,0)),"")</f>
        <v>S-001</v>
      </c>
      <c r="B28" t="str">
        <f>IFERROR(INDEX(S項目!$B:$B,MATCH(アイテムビューア!$A28,S項目!$A:$A,0)),"")</f>
        <v>玄関棚</v>
      </c>
      <c r="C28" t="str">
        <f>IFERROR(INDEX(C項目!$A:$A,MATCH(アイテムビューア!$E28,C項目!$D:$D,0)),"")</f>
        <v>T-0104</v>
      </c>
      <c r="D28" t="str">
        <f>IFERROR(INDEX(T項目!$E:$E,MATCH(アイテムビューア!$C28,T項目!$D:$D,0)),"")</f>
        <v>上段三段目</v>
      </c>
      <c r="E28" t="str">
        <f>アイテム項目!$A28</f>
        <v>C-010401</v>
      </c>
      <c r="F28" t="str">
        <f>IFERROR(INDEX(C項目!$E:$E,MATCH(アイテムビューア!$E28,C項目!$D:$D,0)),"")</f>
        <v>水色引き出し①左列</v>
      </c>
      <c r="G28" t="str">
        <f>アイテム項目!$E28</f>
        <v>I-00027</v>
      </c>
      <c r="H28" t="str">
        <f>アイテム項目!$F28</f>
        <v>黒色小型電子機器</v>
      </c>
      <c r="I28" t="str">
        <f>アイテム項目!$G28</f>
        <v>電材</v>
      </c>
      <c r="J28" t="str">
        <f>アイテム項目!$H28</f>
        <v>B</v>
      </c>
      <c r="K28" t="str">
        <f>アイテム項目!$I28</f>
        <v>用途不明</v>
      </c>
    </row>
    <row r="29" spans="1:11">
      <c r="A29" t="str">
        <f>IFERROR(INDEX(T項目!$A:$A,MATCH(アイテムビューア!$C29,T項目!$D:$D,0)),"")</f>
        <v>S-001</v>
      </c>
      <c r="B29" t="str">
        <f>IFERROR(INDEX(S項目!$B:$B,MATCH(アイテムビューア!$A29,S項目!$A:$A,0)),"")</f>
        <v>玄関棚</v>
      </c>
      <c r="C29" t="str">
        <f>IFERROR(INDEX(C項目!$A:$A,MATCH(アイテムビューア!$E29,C項目!$D:$D,0)),"")</f>
        <v>T-0104</v>
      </c>
      <c r="D29" t="str">
        <f>IFERROR(INDEX(T項目!$E:$E,MATCH(アイテムビューア!$C29,T項目!$D:$D,0)),"")</f>
        <v>上段三段目</v>
      </c>
      <c r="E29" t="str">
        <f>アイテム項目!$A29</f>
        <v>C-010401</v>
      </c>
      <c r="F29" t="str">
        <f>IFERROR(INDEX(C項目!$E:$E,MATCH(アイテムビューア!$E29,C項目!$D:$D,0)),"")</f>
        <v>水色引き出し①左列</v>
      </c>
      <c r="G29" t="str">
        <f>アイテム項目!$E29</f>
        <v>I-00028</v>
      </c>
      <c r="H29" t="str">
        <f>アイテム項目!$F29</f>
        <v>リモコン類</v>
      </c>
      <c r="I29" t="str">
        <f>アイテム項目!$G29</f>
        <v>電材</v>
      </c>
      <c r="J29" t="str">
        <f>アイテム項目!$H29</f>
        <v>B</v>
      </c>
      <c r="K29" t="str">
        <f>アイテム項目!$I29</f>
        <v>黒薄型・灰色円形ボタン</v>
      </c>
    </row>
    <row r="30" spans="1:11">
      <c r="A30" t="str">
        <f>IFERROR(INDEX(T項目!$A:$A,MATCH(アイテムビューア!$C30,T項目!$D:$D,0)),"")</f>
        <v>S-001</v>
      </c>
      <c r="B30" t="str">
        <f>IFERROR(INDEX(S項目!$B:$B,MATCH(アイテムビューア!$A30,S項目!$A:$A,0)),"")</f>
        <v>玄関棚</v>
      </c>
      <c r="C30" t="str">
        <f>IFERROR(INDEX(C項目!$A:$A,MATCH(アイテムビューア!$E30,C項目!$D:$D,0)),"")</f>
        <v>T-0104</v>
      </c>
      <c r="D30" t="str">
        <f>IFERROR(INDEX(T項目!$E:$E,MATCH(アイテムビューア!$C30,T項目!$D:$D,0)),"")</f>
        <v>上段三段目</v>
      </c>
      <c r="E30" t="str">
        <f>アイテム項目!$A30</f>
        <v>C-010401</v>
      </c>
      <c r="F30" t="str">
        <f>IFERROR(INDEX(C項目!$E:$E,MATCH(アイテムビューア!$E30,C項目!$D:$D,0)),"")</f>
        <v>水色引き出し①左列</v>
      </c>
      <c r="G30" t="str">
        <f>アイテム項目!$E30</f>
        <v>I-00029</v>
      </c>
      <c r="H30" t="str">
        <f>アイテム項目!$F30</f>
        <v>L字型アンテナ</v>
      </c>
      <c r="I30" t="str">
        <f>アイテム項目!$G30</f>
        <v>電材</v>
      </c>
      <c r="J30" t="str">
        <f>アイテム項目!$H30</f>
        <v>B</v>
      </c>
      <c r="K30" t="str">
        <f>アイテム項目!$I30</f>
        <v>端子付き</v>
      </c>
    </row>
    <row r="31" spans="1:11">
      <c r="A31" t="str">
        <f>IFERROR(INDEX(T項目!$A:$A,MATCH(アイテムビューア!$C31,T項目!$D:$D,0)),"")</f>
        <v>S-001</v>
      </c>
      <c r="B31" t="str">
        <f>IFERROR(INDEX(S項目!$B:$B,MATCH(アイテムビューア!$A31,S項目!$A:$A,0)),"")</f>
        <v>玄関棚</v>
      </c>
      <c r="C31" t="str">
        <f>IFERROR(INDEX(C項目!$A:$A,MATCH(アイテムビューア!$E31,C項目!$D:$D,0)),"")</f>
        <v>T-0104</v>
      </c>
      <c r="D31" t="str">
        <f>IFERROR(INDEX(T項目!$E:$E,MATCH(アイテムビューア!$C31,T項目!$D:$D,0)),"")</f>
        <v>上段三段目</v>
      </c>
      <c r="E31" t="str">
        <f>アイテム項目!$A31</f>
        <v>C-010401</v>
      </c>
      <c r="F31" t="str">
        <f>IFERROR(INDEX(C項目!$E:$E,MATCH(アイテムビューア!$E31,C項目!$D:$D,0)),"")</f>
        <v>水色引き出し①左列</v>
      </c>
      <c r="G31" t="str">
        <f>アイテム項目!$E31</f>
        <v>I-00030</v>
      </c>
      <c r="H31" t="str">
        <f>アイテム項目!$F31</f>
        <v>コーティング洋灯フック</v>
      </c>
      <c r="I31" t="str">
        <f>アイテム項目!$G31</f>
        <v>小物</v>
      </c>
      <c r="J31" t="str">
        <f>アイテム項目!$H31</f>
        <v>B</v>
      </c>
      <c r="K31" t="str">
        <f>アイテム項目!$I31</f>
        <v>透明ケース入り</v>
      </c>
    </row>
    <row r="32" spans="1:11">
      <c r="A32" t="str">
        <f>IFERROR(INDEX(T項目!$A:$A,MATCH(アイテムビューア!$C32,T項目!$D:$D,0)),"")</f>
        <v>S-001</v>
      </c>
      <c r="B32" t="str">
        <f>IFERROR(INDEX(S項目!$B:$B,MATCH(アイテムビューア!$A32,S項目!$A:$A,0)),"")</f>
        <v>玄関棚</v>
      </c>
      <c r="C32" t="str">
        <f>IFERROR(INDEX(C項目!$A:$A,MATCH(アイテムビューア!$E32,C項目!$D:$D,0)),"")</f>
        <v>T-0104</v>
      </c>
      <c r="D32" t="str">
        <f>IFERROR(INDEX(T項目!$E:$E,MATCH(アイテムビューア!$C32,T項目!$D:$D,0)),"")</f>
        <v>上段三段目</v>
      </c>
      <c r="E32" t="str">
        <f>アイテム項目!$A32</f>
        <v>C-010401</v>
      </c>
      <c r="F32" t="str">
        <f>IFERROR(INDEX(C項目!$E:$E,MATCH(アイテムビューア!$E32,C項目!$D:$D,0)),"")</f>
        <v>水色引き出し①左列</v>
      </c>
      <c r="G32" t="str">
        <f>アイテム項目!$E32</f>
        <v>I-00031</v>
      </c>
      <c r="H32" t="str">
        <f>アイテム項目!$F32</f>
        <v>電子基板・パーツ</v>
      </c>
      <c r="I32" t="str">
        <f>アイテム項目!$G32</f>
        <v>電材</v>
      </c>
      <c r="J32" t="str">
        <f>アイテム項目!$H32</f>
        <v>B</v>
      </c>
      <c r="K32" t="str">
        <f>アイテム項目!$I32</f>
        <v>半透明ケース入り</v>
      </c>
    </row>
    <row r="33" spans="1:11">
      <c r="A33" t="str">
        <f>IFERROR(INDEX(T項目!$A:$A,MATCH(アイテムビューア!$C33,T項目!$D:$D,0)),"")</f>
        <v>S-001</v>
      </c>
      <c r="B33" t="str">
        <f>IFERROR(INDEX(S項目!$B:$B,MATCH(アイテムビューア!$A33,S項目!$A:$A,0)),"")</f>
        <v>玄関棚</v>
      </c>
      <c r="C33" t="str">
        <f>IFERROR(INDEX(C項目!$A:$A,MATCH(アイテムビューア!$E33,C項目!$D:$D,0)),"")</f>
        <v>T-0104</v>
      </c>
      <c r="D33" t="str">
        <f>IFERROR(INDEX(T項目!$E:$E,MATCH(アイテムビューア!$C33,T項目!$D:$D,0)),"")</f>
        <v>上段三段目</v>
      </c>
      <c r="E33" t="str">
        <f>アイテム項目!$A33</f>
        <v>C-010401</v>
      </c>
      <c r="F33" t="str">
        <f>IFERROR(INDEX(C項目!$E:$E,MATCH(アイテムビューア!$E33,C項目!$D:$D,0)),"")</f>
        <v>水色引き出し①左列</v>
      </c>
      <c r="G33" t="str">
        <f>アイテム項目!$E33</f>
        <v>I-00032</v>
      </c>
      <c r="H33" t="str">
        <f>アイテム項目!$F33</f>
        <v>SDカード</v>
      </c>
      <c r="I33" t="str">
        <f>アイテム項目!$G33</f>
        <v>電材</v>
      </c>
      <c r="J33" t="str">
        <f>アイテム項目!$H33</f>
        <v>B</v>
      </c>
      <c r="K33" t="str">
        <f>アイテム項目!$I33</f>
        <v>黒カード</v>
      </c>
    </row>
    <row r="34" spans="1:11">
      <c r="A34" t="str">
        <f>IFERROR(INDEX(T項目!$A:$A,MATCH(アイテムビューア!$C34,T項目!$D:$D,0)),"")</f>
        <v>S-001</v>
      </c>
      <c r="B34" t="str">
        <f>IFERROR(INDEX(S項目!$B:$B,MATCH(アイテムビューア!$A34,S項目!$A:$A,0)),"")</f>
        <v>玄関棚</v>
      </c>
      <c r="C34" t="str">
        <f>IFERROR(INDEX(C項目!$A:$A,MATCH(アイテムビューア!$E34,C項目!$D:$D,0)),"")</f>
        <v>T-0104</v>
      </c>
      <c r="D34" t="str">
        <f>IFERROR(INDEX(T項目!$E:$E,MATCH(アイテムビューア!$C34,T項目!$D:$D,0)),"")</f>
        <v>上段三段目</v>
      </c>
      <c r="E34" t="str">
        <f>アイテム項目!$A34</f>
        <v>C-010401</v>
      </c>
      <c r="F34" t="str">
        <f>IFERROR(INDEX(C項目!$E:$E,MATCH(アイテムビューア!$E34,C項目!$D:$D,0)),"")</f>
        <v>水色引き出し①左列</v>
      </c>
      <c r="G34" t="str">
        <f>アイテム項目!$E34</f>
        <v>I-00033</v>
      </c>
      <c r="H34" t="str">
        <f>アイテム項目!$F34</f>
        <v>黒円形パーツ</v>
      </c>
      <c r="I34" t="str">
        <f>アイテム項目!$G34</f>
        <v>電材</v>
      </c>
      <c r="J34" t="str">
        <f>アイテム項目!$H34</f>
        <v>B</v>
      </c>
      <c r="K34" t="str">
        <f>アイテム項目!$I34</f>
        <v>6点</v>
      </c>
    </row>
    <row r="35" spans="1:11">
      <c r="A35" t="str">
        <f>IFERROR(INDEX(T項目!$A:$A,MATCH(アイテムビューア!$C35,T項目!$D:$D,0)),"")</f>
        <v>S-001</v>
      </c>
      <c r="B35" t="str">
        <f>IFERROR(INDEX(S項目!$B:$B,MATCH(アイテムビューア!$A35,S項目!$A:$A,0)),"")</f>
        <v>玄関棚</v>
      </c>
      <c r="C35" t="str">
        <f>IFERROR(INDEX(C項目!$A:$A,MATCH(アイテムビューア!$E35,C項目!$D:$D,0)),"")</f>
        <v>T-0104</v>
      </c>
      <c r="D35" t="str">
        <f>IFERROR(INDEX(T項目!$E:$E,MATCH(アイテムビューア!$C35,T項目!$D:$D,0)),"")</f>
        <v>上段三段目</v>
      </c>
      <c r="E35" t="str">
        <f>アイテム項目!$A35</f>
        <v>C-010401</v>
      </c>
      <c r="F35" t="str">
        <f>IFERROR(INDEX(C項目!$E:$E,MATCH(アイテムビューア!$E35,C項目!$D:$D,0)),"")</f>
        <v>水色引き出し①左列</v>
      </c>
      <c r="G35" t="str">
        <f>アイテム項目!$E35</f>
        <v>I-00034</v>
      </c>
      <c r="H35" t="str">
        <f>アイテム項目!$F35</f>
        <v>小ネジ</v>
      </c>
      <c r="I35" t="str">
        <f>アイテム項目!$G35</f>
        <v>ネジ</v>
      </c>
      <c r="J35" t="str">
        <f>アイテム項目!$H35</f>
        <v>B</v>
      </c>
      <c r="K35" t="str">
        <f>アイテム項目!$I35</f>
        <v>左列下段</v>
      </c>
    </row>
    <row r="36" spans="1:11">
      <c r="A36" t="str">
        <f>IFERROR(INDEX(T項目!$A:$A,MATCH(アイテムビューア!$C36,T項目!$D:$D,0)),"")</f>
        <v>S-001</v>
      </c>
      <c r="B36" t="str">
        <f>IFERROR(INDEX(S項目!$B:$B,MATCH(アイテムビューア!$A36,S項目!$A:$A,0)),"")</f>
        <v>玄関棚</v>
      </c>
      <c r="C36" t="str">
        <f>IFERROR(INDEX(C項目!$A:$A,MATCH(アイテムビューア!$E36,C項目!$D:$D,0)),"")</f>
        <v>T-0104</v>
      </c>
      <c r="D36" t="str">
        <f>IFERROR(INDEX(T項目!$E:$E,MATCH(アイテムビューア!$C36,T項目!$D:$D,0)),"")</f>
        <v>上段三段目</v>
      </c>
      <c r="E36" t="str">
        <f>アイテム項目!$A36</f>
        <v>C-010401</v>
      </c>
      <c r="F36" t="str">
        <f>IFERROR(INDEX(C項目!$E:$E,MATCH(アイテムビューア!$E36,C項目!$D:$D,0)),"")</f>
        <v>水色引き出し①左列</v>
      </c>
      <c r="G36" t="str">
        <f>アイテム項目!$E36</f>
        <v>I-00035</v>
      </c>
      <c r="H36" t="str">
        <f>アイテム項目!$F36</f>
        <v>ピルケース・小物ケース</v>
      </c>
      <c r="I36" t="str">
        <f>アイテム項目!$G36</f>
        <v>小物</v>
      </c>
      <c r="J36" t="str">
        <f>アイテム項目!$H36</f>
        <v>B</v>
      </c>
      <c r="K36" t="str">
        <f>アイテム項目!$I36</f>
        <v>左列下段</v>
      </c>
    </row>
    <row r="37" spans="1:11">
      <c r="A37" t="str">
        <f>IFERROR(INDEX(T項目!$A:$A,MATCH(アイテムビューア!$C37,T項目!$D:$D,0)),"")</f>
        <v>S-001</v>
      </c>
      <c r="B37" t="str">
        <f>IFERROR(INDEX(S項目!$B:$B,MATCH(アイテムビューア!$A37,S項目!$A:$A,0)),"")</f>
        <v>玄関棚</v>
      </c>
      <c r="C37" t="str">
        <f>IFERROR(INDEX(C項目!$A:$A,MATCH(アイテムビューア!$E37,C項目!$D:$D,0)),"")</f>
        <v>T-0104</v>
      </c>
      <c r="D37" t="str">
        <f>IFERROR(INDEX(T項目!$E:$E,MATCH(アイテムビューア!$C37,T項目!$D:$D,0)),"")</f>
        <v>上段三段目</v>
      </c>
      <c r="E37" t="str">
        <f>アイテム項目!$A37</f>
        <v>C-010403</v>
      </c>
      <c r="F37" t="str">
        <f>IFERROR(INDEX(C項目!$E:$E,MATCH(アイテムビューア!$E37,C項目!$D:$D,0)),"")</f>
        <v>水色引き出し③右列</v>
      </c>
      <c r="G37" t="str">
        <f>アイテム項目!$E37</f>
        <v>I-00036</v>
      </c>
      <c r="H37" t="str">
        <f>アイテム項目!$F37</f>
        <v>えっちゃん・しゅうやのおもちゃ類</v>
      </c>
      <c r="I37" t="str">
        <f>アイテム項目!$G37</f>
        <v>小物</v>
      </c>
      <c r="J37" t="str">
        <f>アイテム項目!$H37</f>
        <v>B</v>
      </c>
      <c r="K37" t="str">
        <f>アイテム項目!$I37</f>
        <v>右列上段</v>
      </c>
    </row>
    <row r="38" spans="1:11">
      <c r="A38" t="str">
        <f>IFERROR(INDEX(T項目!$A:$A,MATCH(アイテムビューア!$C38,T項目!$D:$D,0)),"")</f>
        <v>S-001</v>
      </c>
      <c r="B38" t="str">
        <f>IFERROR(INDEX(S項目!$B:$B,MATCH(アイテムビューア!$A38,S項目!$A:$A,0)),"")</f>
        <v>玄関棚</v>
      </c>
      <c r="C38" t="str">
        <f>IFERROR(INDEX(C項目!$A:$A,MATCH(アイテムビューア!$E38,C項目!$D:$D,0)),"")</f>
        <v>T-0104</v>
      </c>
      <c r="D38" t="str">
        <f>IFERROR(INDEX(T項目!$E:$E,MATCH(アイテムビューア!$C38,T項目!$D:$D,0)),"")</f>
        <v>上段三段目</v>
      </c>
      <c r="E38" t="str">
        <f>アイテム項目!$A38</f>
        <v>C-010403</v>
      </c>
      <c r="F38" t="str">
        <f>IFERROR(INDEX(C項目!$E:$E,MATCH(アイテムビューア!$E38,C項目!$D:$D,0)),"")</f>
        <v>水色引き出し③右列</v>
      </c>
      <c r="G38" t="str">
        <f>アイテム項目!$E38</f>
        <v>I-00037</v>
      </c>
      <c r="H38" t="str">
        <f>アイテム項目!$F38</f>
        <v>結束バンド各種</v>
      </c>
      <c r="I38" t="str">
        <f>アイテム項目!$G38</f>
        <v>電材</v>
      </c>
      <c r="J38" t="str">
        <f>アイテム項目!$H38</f>
        <v>B</v>
      </c>
      <c r="K38" t="str">
        <f>アイテム項目!$I38</f>
        <v>白・黒・繰り返しタイプ含む</v>
      </c>
    </row>
    <row r="39" spans="1:11">
      <c r="A39" t="str">
        <f>IFERROR(INDEX(T項目!$A:$A,MATCH(アイテムビューア!$C39,T項目!$D:$D,0)),"")</f>
        <v>S-001</v>
      </c>
      <c r="B39" t="str">
        <f>IFERROR(INDEX(S項目!$B:$B,MATCH(アイテムビューア!$A39,S項目!$A:$A,0)),"")</f>
        <v>玄関棚</v>
      </c>
      <c r="C39" t="str">
        <f>IFERROR(INDEX(C項目!$A:$A,MATCH(アイテムビューア!$E39,C項目!$D:$D,0)),"")</f>
        <v>T-0104</v>
      </c>
      <c r="D39" t="str">
        <f>IFERROR(INDEX(T項目!$E:$E,MATCH(アイテムビューア!$C39,T項目!$D:$D,0)),"")</f>
        <v>上段三段目</v>
      </c>
      <c r="E39" t="str">
        <f>アイテム項目!$A39</f>
        <v>C-010402</v>
      </c>
      <c r="F39" t="str">
        <f>IFERROR(INDEX(C項目!$E:$E,MATCH(アイテムビューア!$E39,C項目!$D:$D,0)),"")</f>
        <v>水色引き出し②中央列</v>
      </c>
      <c r="G39" t="str">
        <f>アイテム項目!$E39</f>
        <v>I-00038</v>
      </c>
      <c r="H39" t="str">
        <f>アイテム項目!$F39</f>
        <v>3M両面テープ</v>
      </c>
      <c r="I39" t="str">
        <f>アイテム項目!$G39</f>
        <v>テープ</v>
      </c>
      <c r="J39" t="str">
        <f>アイテム項目!$H39</f>
        <v>B</v>
      </c>
      <c r="K39" t="str">
        <f>アイテム項目!$I39</f>
        <v>Electronics用</v>
      </c>
    </row>
    <row r="40" spans="1:11">
      <c r="A40" t="str">
        <f>IFERROR(INDEX(T項目!$A:$A,MATCH(アイテムビューア!$C40,T項目!$D:$D,0)),"")</f>
        <v>S-001</v>
      </c>
      <c r="B40" t="str">
        <f>IFERROR(INDEX(S項目!$B:$B,MATCH(アイテムビューア!$A40,S項目!$A:$A,0)),"")</f>
        <v>玄関棚</v>
      </c>
      <c r="C40" t="str">
        <f>IFERROR(INDEX(C項目!$A:$A,MATCH(アイテムビューア!$E40,C項目!$D:$D,0)),"")</f>
        <v>T-0104</v>
      </c>
      <c r="D40" t="str">
        <f>IFERROR(INDEX(T項目!$E:$E,MATCH(アイテムビューア!$C40,T項目!$D:$D,0)),"")</f>
        <v>上段三段目</v>
      </c>
      <c r="E40" t="str">
        <f>アイテム項目!$A40</f>
        <v>C-010402</v>
      </c>
      <c r="F40" t="str">
        <f>IFERROR(INDEX(C項目!$E:$E,MATCH(アイテムビューア!$E40,C項目!$D:$D,0)),"")</f>
        <v>水色引き出し②中央列</v>
      </c>
      <c r="G40" t="str">
        <f>アイテム項目!$E40</f>
        <v>I-00039</v>
      </c>
      <c r="H40" t="str">
        <f>アイテム項目!$F40</f>
        <v>黒角丸パッド</v>
      </c>
      <c r="I40" t="str">
        <f>アイテム項目!$G40</f>
        <v>小物</v>
      </c>
      <c r="J40" t="str">
        <f>アイテム項目!$H40</f>
        <v>B</v>
      </c>
      <c r="K40" t="str">
        <f>アイテム項目!$I40</f>
        <v>台紙付き</v>
      </c>
    </row>
    <row r="41" spans="1:11">
      <c r="A41" t="str">
        <f>IFERROR(INDEX(T項目!$A:$A,MATCH(アイテムビューア!$C41,T項目!$D:$D,0)),"")</f>
        <v>S-001</v>
      </c>
      <c r="B41" t="str">
        <f>IFERROR(INDEX(S項目!$B:$B,MATCH(アイテムビューア!$A41,S項目!$A:$A,0)),"")</f>
        <v>玄関棚</v>
      </c>
      <c r="C41" t="str">
        <f>IFERROR(INDEX(C項目!$A:$A,MATCH(アイテムビューア!$E41,C項目!$D:$D,0)),"")</f>
        <v>T-0104</v>
      </c>
      <c r="D41" t="str">
        <f>IFERROR(INDEX(T項目!$E:$E,MATCH(アイテムビューア!$C41,T項目!$D:$D,0)),"")</f>
        <v>上段三段目</v>
      </c>
      <c r="E41" t="str">
        <f>アイテム項目!$A41</f>
        <v>C-010402</v>
      </c>
      <c r="F41" t="str">
        <f>IFERROR(INDEX(C項目!$E:$E,MATCH(アイテムビューア!$E41,C項目!$D:$D,0)),"")</f>
        <v>水色引き出し②中央列</v>
      </c>
      <c r="G41" t="str">
        <f>アイテム項目!$E41</f>
        <v>I-00040</v>
      </c>
      <c r="H41" t="str">
        <f>アイテム項目!$F41</f>
        <v>防振粘着マット類</v>
      </c>
      <c r="I41" t="str">
        <f>アイテム項目!$G41</f>
        <v>小物</v>
      </c>
      <c r="J41" t="str">
        <f>アイテム項目!$H41</f>
        <v>B</v>
      </c>
      <c r="K41" t="str">
        <f>アイテム項目!$I41</f>
        <v>複数パッケージ</v>
      </c>
    </row>
    <row r="42" spans="1:11">
      <c r="A42" t="str">
        <f>IFERROR(INDEX(T項目!$A:$A,MATCH(アイテムビューア!$C42,T項目!$D:$D,0)),"")</f>
        <v>S-001</v>
      </c>
      <c r="B42" t="str">
        <f>IFERROR(INDEX(S項目!$B:$B,MATCH(アイテムビューア!$A42,S項目!$A:$A,0)),"")</f>
        <v>玄関棚</v>
      </c>
      <c r="C42" t="str">
        <f>IFERROR(INDEX(C項目!$A:$A,MATCH(アイテムビューア!$E42,C項目!$D:$D,0)),"")</f>
        <v>T-0104</v>
      </c>
      <c r="D42" t="str">
        <f>IFERROR(INDEX(T項目!$E:$E,MATCH(アイテムビューア!$C42,T項目!$D:$D,0)),"")</f>
        <v>上段三段目</v>
      </c>
      <c r="E42" t="str">
        <f>アイテム項目!$A42</f>
        <v>C-010402</v>
      </c>
      <c r="F42" t="str">
        <f>IFERROR(INDEX(C項目!$E:$E,MATCH(アイテムビューア!$E42,C項目!$D:$D,0)),"")</f>
        <v>水色引き出し②中央列</v>
      </c>
      <c r="G42" t="str">
        <f>アイテム項目!$E42</f>
        <v>I-00041</v>
      </c>
      <c r="H42" t="str">
        <f>アイテム項目!$F42</f>
        <v>耐震マット</v>
      </c>
      <c r="I42" t="str">
        <f>アイテム項目!$G42</f>
        <v>小物</v>
      </c>
      <c r="J42" t="str">
        <f>アイテム項目!$H42</f>
        <v>B</v>
      </c>
      <c r="K42" t="str">
        <f>アイテム項目!$I42</f>
        <v>透明角型</v>
      </c>
    </row>
    <row r="43" spans="1:11">
      <c r="A43" t="str">
        <f>IFERROR(INDEX(T項目!$A:$A,MATCH(アイテムビューア!$C43,T項目!$D:$D,0)),"")</f>
        <v>S-001</v>
      </c>
      <c r="B43" t="str">
        <f>IFERROR(INDEX(S項目!$B:$B,MATCH(アイテムビューア!$A43,S項目!$A:$A,0)),"")</f>
        <v>玄関棚</v>
      </c>
      <c r="C43" t="str">
        <f>IFERROR(INDEX(C項目!$A:$A,MATCH(アイテムビューア!$E43,C項目!$D:$D,0)),"")</f>
        <v>T-0104</v>
      </c>
      <c r="D43" t="str">
        <f>IFERROR(INDEX(T項目!$E:$E,MATCH(アイテムビューア!$C43,T項目!$D:$D,0)),"")</f>
        <v>上段三段目</v>
      </c>
      <c r="E43" t="str">
        <f>アイテム項目!$A43</f>
        <v>C-010402</v>
      </c>
      <c r="F43" t="str">
        <f>IFERROR(INDEX(C項目!$E:$E,MATCH(アイテムビューア!$E43,C項目!$D:$D,0)),"")</f>
        <v>水色引き出し②中央列</v>
      </c>
      <c r="G43" t="str">
        <f>アイテム項目!$E43</f>
        <v>I-00042</v>
      </c>
      <c r="H43" t="str">
        <f>アイテム項目!$F43</f>
        <v>緑色衝撃吸収パッド</v>
      </c>
      <c r="I43" t="str">
        <f>アイテム項目!$G43</f>
        <v>小物</v>
      </c>
      <c r="J43" t="str">
        <f>アイテム項目!$H43</f>
        <v>B</v>
      </c>
      <c r="K43" t="str">
        <f>アイテム項目!$I43</f>
        <v>大2枚・小6枚</v>
      </c>
    </row>
    <row r="44" spans="1:11">
      <c r="A44" t="str">
        <f>IFERROR(INDEX(T項目!$A:$A,MATCH(アイテムビューア!$C44,T項目!$D:$D,0)),"")</f>
        <v>S-001</v>
      </c>
      <c r="B44" t="str">
        <f>IFERROR(INDEX(S項目!$B:$B,MATCH(アイテムビューア!$A44,S項目!$A:$A,0)),"")</f>
        <v>玄関棚</v>
      </c>
      <c r="C44" t="str">
        <f>IFERROR(INDEX(C項目!$A:$A,MATCH(アイテムビューア!$E44,C項目!$D:$D,0)),"")</f>
        <v>T-0104</v>
      </c>
      <c r="D44" t="str">
        <f>IFERROR(INDEX(T項目!$E:$E,MATCH(アイテムビューア!$C44,T項目!$D:$D,0)),"")</f>
        <v>上段三段目</v>
      </c>
      <c r="E44" t="str">
        <f>アイテム項目!$A44</f>
        <v>C-010402</v>
      </c>
      <c r="F44" t="str">
        <f>IFERROR(INDEX(C項目!$E:$E,MATCH(アイテムビューア!$E44,C項目!$D:$D,0)),"")</f>
        <v>水色引き出し②中央列</v>
      </c>
      <c r="G44" t="str">
        <f>アイテム項目!$E44</f>
        <v>I-00043</v>
      </c>
      <c r="H44" t="str">
        <f>アイテム項目!$F44</f>
        <v>3Mはがせる両面テープ</v>
      </c>
      <c r="I44" t="str">
        <f>アイテム項目!$G44</f>
        <v>テープ</v>
      </c>
      <c r="J44" t="str">
        <f>アイテム項目!$H44</f>
        <v>B</v>
      </c>
      <c r="K44" t="str">
        <f>アイテム項目!$I44</f>
        <v>黄緑白赤パッケージ</v>
      </c>
    </row>
    <row r="45" spans="1:11">
      <c r="A45" t="str">
        <f>IFERROR(INDEX(T項目!$A:$A,MATCH(アイテムビューア!$C45,T項目!$D:$D,0)),"")</f>
        <v>S-001</v>
      </c>
      <c r="B45" t="str">
        <f>IFERROR(INDEX(S項目!$B:$B,MATCH(アイテムビューア!$A45,S項目!$A:$A,0)),"")</f>
        <v>玄関棚</v>
      </c>
      <c r="C45" t="str">
        <f>IFERROR(INDEX(C項目!$A:$A,MATCH(アイテムビューア!$E45,C項目!$D:$D,0)),"")</f>
        <v>T-0104</v>
      </c>
      <c r="D45" t="str">
        <f>IFERROR(INDEX(T項目!$E:$E,MATCH(アイテムビューア!$C45,T項目!$D:$D,0)),"")</f>
        <v>上段三段目</v>
      </c>
      <c r="E45" t="str">
        <f>アイテム項目!$A45</f>
        <v>C-010402</v>
      </c>
      <c r="F45" t="str">
        <f>IFERROR(INDEX(C項目!$E:$E,MATCH(アイテムビューア!$E45,C項目!$D:$D,0)),"")</f>
        <v>水色引き出し②中央列</v>
      </c>
      <c r="G45" t="str">
        <f>アイテム項目!$E45</f>
        <v>I-00044</v>
      </c>
      <c r="H45" t="str">
        <f>アイテム項目!$F45</f>
        <v>コマンドタブテープ</v>
      </c>
      <c r="I45" t="str">
        <f>アイテム項目!$G45</f>
        <v>Mサイズ</v>
      </c>
      <c r="J45" t="str">
        <f>アイテム項目!$H45</f>
        <v>B</v>
      </c>
      <c r="K45" t="str">
        <f>アイテム項目!$I45</f>
        <v>2パック</v>
      </c>
    </row>
    <row r="46" spans="1:11">
      <c r="A46" t="str">
        <f>IFERROR(INDEX(T項目!$A:$A,MATCH(アイテムビューア!$C46,T項目!$D:$D,0)),"")</f>
        <v>S-001</v>
      </c>
      <c r="B46" t="str">
        <f>IFERROR(INDEX(S項目!$B:$B,MATCH(アイテムビューア!$A46,S項目!$A:$A,0)),"")</f>
        <v>玄関棚</v>
      </c>
      <c r="C46" t="str">
        <f>IFERROR(INDEX(C項目!$A:$A,MATCH(アイテムビューア!$E46,C項目!$D:$D,0)),"")</f>
        <v>T-0104</v>
      </c>
      <c r="D46" t="str">
        <f>IFERROR(INDEX(T項目!$E:$E,MATCH(アイテムビューア!$C46,T項目!$D:$D,0)),"")</f>
        <v>上段三段目</v>
      </c>
      <c r="E46" t="str">
        <f>アイテム項目!$A46</f>
        <v>C-010402</v>
      </c>
      <c r="F46" t="str">
        <f>IFERROR(INDEX(C項目!$E:$E,MATCH(アイテムビューア!$E46,C項目!$D:$D,0)),"")</f>
        <v>水色引き出し②中央列</v>
      </c>
      <c r="G46" t="str">
        <f>アイテム項目!$E46</f>
        <v>I-00045</v>
      </c>
      <c r="H46" t="str">
        <f>アイテム項目!$F46</f>
        <v>家具転倒防止プレート</v>
      </c>
      <c r="I46" t="str">
        <f>アイテム項目!$G46</f>
        <v>小物</v>
      </c>
      <c r="J46" t="str">
        <f>アイテム項目!$H46</f>
        <v>B</v>
      </c>
      <c r="K46" t="str">
        <f>アイテム項目!$I46</f>
        <v>黒金属製</v>
      </c>
    </row>
    <row r="47" spans="1:11">
      <c r="A47" t="str">
        <f>IFERROR(INDEX(T項目!$A:$A,MATCH(アイテムビューア!$C47,T項目!$D:$D,0)),"")</f>
        <v>S-001</v>
      </c>
      <c r="B47" t="str">
        <f>IFERROR(INDEX(S項目!$B:$B,MATCH(アイテムビューア!$A47,S項目!$A:$A,0)),"")</f>
        <v>玄関棚</v>
      </c>
      <c r="C47" t="str">
        <f>IFERROR(INDEX(C項目!$A:$A,MATCH(アイテムビューア!$E47,C項目!$D:$D,0)),"")</f>
        <v>T-0104</v>
      </c>
      <c r="D47" t="str">
        <f>IFERROR(INDEX(T項目!$E:$E,MATCH(アイテムビューア!$C47,T項目!$D:$D,0)),"")</f>
        <v>上段三段目</v>
      </c>
      <c r="E47" t="str">
        <f>アイテム項目!$A47</f>
        <v>C-010402</v>
      </c>
      <c r="F47" t="str">
        <f>IFERROR(INDEX(C項目!$E:$E,MATCH(アイテムビューア!$E47,C項目!$D:$D,0)),"")</f>
        <v>水色引き出し②中央列</v>
      </c>
      <c r="G47" t="str">
        <f>アイテム項目!$E47</f>
        <v>I-00046</v>
      </c>
      <c r="H47" t="str">
        <f>アイテム項目!$F47</f>
        <v>吸盤補助板</v>
      </c>
      <c r="I47" t="str">
        <f>アイテム項目!$G47</f>
        <v>小物</v>
      </c>
      <c r="J47" t="str">
        <f>アイテム項目!$H47</f>
        <v>B</v>
      </c>
      <c r="K47" t="str">
        <f>アイテム項目!$I47</f>
        <v>直径8cm</v>
      </c>
    </row>
    <row r="48" spans="1:11">
      <c r="A48" t="str">
        <f>IFERROR(INDEX(T項目!$A:$A,MATCH(アイテムビューア!$C48,T項目!$D:$D,0)),"")</f>
        <v>S-001</v>
      </c>
      <c r="B48" t="str">
        <f>IFERROR(INDEX(S項目!$B:$B,MATCH(アイテムビューア!$A48,S項目!$A:$A,0)),"")</f>
        <v>玄関棚</v>
      </c>
      <c r="C48" t="str">
        <f>IFERROR(INDEX(C項目!$A:$A,MATCH(アイテムビューア!$E48,C項目!$D:$D,0)),"")</f>
        <v>T-0104</v>
      </c>
      <c r="D48" t="str">
        <f>IFERROR(INDEX(T項目!$E:$E,MATCH(アイテムビューア!$C48,T項目!$D:$D,0)),"")</f>
        <v>上段三段目</v>
      </c>
      <c r="E48" t="str">
        <f>アイテム項目!$A48</f>
        <v>C-010402</v>
      </c>
      <c r="F48" t="str">
        <f>IFERROR(INDEX(C項目!$E:$E,MATCH(アイテムビューア!$E48,C項目!$D:$D,0)),"")</f>
        <v>水色引き出し②中央列</v>
      </c>
      <c r="G48" t="str">
        <f>アイテム項目!$E48</f>
        <v>I-00047</v>
      </c>
      <c r="H48" t="str">
        <f>アイテム項目!$F48</f>
        <v>L字補強プレート</v>
      </c>
      <c r="I48" t="str">
        <f>アイテム項目!$G48</f>
        <v>小物</v>
      </c>
      <c r="J48" t="str">
        <f>アイテム項目!$H48</f>
        <v>B</v>
      </c>
      <c r="K48" t="str">
        <f>アイテム項目!$I48</f>
        <v>白金属製</v>
      </c>
    </row>
    <row r="49" spans="1:11">
      <c r="A49" t="str">
        <f>IFERROR(INDEX(T項目!$A:$A,MATCH(アイテムビューア!$C49,T項目!$D:$D,0)),"")</f>
        <v>S-001</v>
      </c>
      <c r="B49" t="str">
        <f>IFERROR(INDEX(S項目!$B:$B,MATCH(アイテムビューア!$A49,S項目!$A:$A,0)),"")</f>
        <v>玄関棚</v>
      </c>
      <c r="C49" t="str">
        <f>IFERROR(INDEX(C項目!$A:$A,MATCH(アイテムビューア!$E49,C項目!$D:$D,0)),"")</f>
        <v>T-0104</v>
      </c>
      <c r="D49" t="str">
        <f>IFERROR(INDEX(T項目!$E:$E,MATCH(アイテムビューア!$C49,T項目!$D:$D,0)),"")</f>
        <v>上段三段目</v>
      </c>
      <c r="E49" t="str">
        <f>アイテム項目!$A49</f>
        <v>C-010402</v>
      </c>
      <c r="F49" t="str">
        <f>IFERROR(INDEX(C項目!$E:$E,MATCH(アイテムビューア!$E49,C項目!$D:$D,0)),"")</f>
        <v>水色引き出し②中央列</v>
      </c>
      <c r="G49" t="str">
        <f>アイテム項目!$E49</f>
        <v>I-00048</v>
      </c>
      <c r="H49" t="str">
        <f>アイテム項目!$F49</f>
        <v>フック・プレート類</v>
      </c>
      <c r="I49" t="str">
        <f>アイテム項目!$G49</f>
        <v>小物</v>
      </c>
      <c r="J49" t="str">
        <f>アイテム項目!$H49</f>
        <v>B</v>
      </c>
      <c r="K49" t="str">
        <f>アイテム項目!$I49</f>
        <v>混在</v>
      </c>
    </row>
    <row r="50" spans="1:11">
      <c r="A50" t="str">
        <f>IFERROR(INDEX(T項目!$A:$A,MATCH(アイテムビューア!$C50,T項目!$D:$D,0)),"")</f>
        <v>S-001</v>
      </c>
      <c r="B50" t="str">
        <f>IFERROR(INDEX(S項目!$B:$B,MATCH(アイテムビューア!$A50,S項目!$A:$A,0)),"")</f>
        <v>玄関棚</v>
      </c>
      <c r="C50" t="str">
        <f>IFERROR(INDEX(C項目!$A:$A,MATCH(アイテムビューア!$E50,C項目!$D:$D,0)),"")</f>
        <v>T-0104</v>
      </c>
      <c r="D50" t="str">
        <f>IFERROR(INDEX(T項目!$E:$E,MATCH(アイテムビューア!$C50,T項目!$D:$D,0)),"")</f>
        <v>上段三段目</v>
      </c>
      <c r="E50" t="str">
        <f>アイテム項目!$A50</f>
        <v>C-010402</v>
      </c>
      <c r="F50" t="str">
        <f>IFERROR(INDEX(C項目!$E:$E,MATCH(アイテムビューア!$E50,C項目!$D:$D,0)),"")</f>
        <v>水色引き出し②中央列</v>
      </c>
      <c r="G50" t="str">
        <f>アイテム項目!$E50</f>
        <v>I-00049</v>
      </c>
      <c r="H50" t="str">
        <f>アイテム項目!$F50</f>
        <v>黒円形粘着パッド</v>
      </c>
      <c r="I50" t="str">
        <f>アイテム項目!$G50</f>
        <v>小物</v>
      </c>
      <c r="J50" t="str">
        <f>アイテム項目!$H50</f>
        <v>B</v>
      </c>
      <c r="K50" t="str">
        <f>アイテム項目!$I50</f>
        <v>複数枚</v>
      </c>
    </row>
    <row r="51" spans="1:11">
      <c r="A51" t="str">
        <f>IFERROR(INDEX(T項目!$A:$A,MATCH(アイテムビューア!$C51,T項目!$D:$D,0)),"")</f>
        <v>S-001</v>
      </c>
      <c r="B51" t="str">
        <f>IFERROR(INDEX(S項目!$B:$B,MATCH(アイテムビューア!$A51,S項目!$A:$A,0)),"")</f>
        <v>玄関棚</v>
      </c>
      <c r="C51" t="str">
        <f>IFERROR(INDEX(C項目!$A:$A,MATCH(アイテムビューア!$E51,C項目!$D:$D,0)),"")</f>
        <v>T-0104</v>
      </c>
      <c r="D51" t="str">
        <f>IFERROR(INDEX(T項目!$E:$E,MATCH(アイテムビューア!$C51,T項目!$D:$D,0)),"")</f>
        <v>上段三段目</v>
      </c>
      <c r="E51" t="str">
        <f>アイテム項目!$A51</f>
        <v>C-010402</v>
      </c>
      <c r="F51" t="str">
        <f>IFERROR(INDEX(C項目!$E:$E,MATCH(アイテムビューア!$E51,C項目!$D:$D,0)),"")</f>
        <v>水色引き出し②中央列</v>
      </c>
      <c r="G51" t="str">
        <f>アイテム項目!$E51</f>
        <v>I-00050</v>
      </c>
      <c r="H51" t="str">
        <f>アイテム項目!$F51</f>
        <v>円形金属パーツ</v>
      </c>
      <c r="I51" t="str">
        <f>アイテム項目!$G51</f>
        <v>不明</v>
      </c>
      <c r="J51" t="str">
        <f>アイテム項目!$H51</f>
        <v>B</v>
      </c>
      <c r="K51" t="str">
        <f>アイテム項目!$I51</f>
        <v>用途不明</v>
      </c>
    </row>
    <row r="52" spans="1:11">
      <c r="A52" t="str">
        <f>IFERROR(INDEX(T項目!$A:$A,MATCH(アイテムビューア!$C52,T項目!$D:$D,0)),"")</f>
        <v>S-001</v>
      </c>
      <c r="B52" t="str">
        <f>IFERROR(INDEX(S項目!$B:$B,MATCH(アイテムビューア!$A52,S項目!$A:$A,0)),"")</f>
        <v>玄関棚</v>
      </c>
      <c r="C52" t="str">
        <f>IFERROR(INDEX(C項目!$A:$A,MATCH(アイテムビューア!$E52,C項目!$D:$D,0)),"")</f>
        <v>T-0104</v>
      </c>
      <c r="D52" t="str">
        <f>IFERROR(INDEX(T項目!$E:$E,MATCH(アイテムビューア!$C52,T項目!$D:$D,0)),"")</f>
        <v>上段三段目</v>
      </c>
      <c r="E52" t="str">
        <f>アイテム項目!$A52</f>
        <v>C-010402</v>
      </c>
      <c r="F52" t="str">
        <f>IFERROR(INDEX(C項目!$E:$E,MATCH(アイテムビューア!$E52,C項目!$D:$D,0)),"")</f>
        <v>水色引き出し②中央列</v>
      </c>
      <c r="G52" t="str">
        <f>アイテム項目!$E52</f>
        <v>I-00051</v>
      </c>
      <c r="H52" t="str">
        <f>アイテム項目!$F52</f>
        <v>粘着Jフック</v>
      </c>
      <c r="I52" t="str">
        <f>アイテム項目!$G52</f>
        <v>小物</v>
      </c>
      <c r="J52" t="str">
        <f>アイテム項目!$H52</f>
        <v>B</v>
      </c>
      <c r="K52" t="str">
        <f>アイテム項目!$I52</f>
        <v>黒J字型</v>
      </c>
    </row>
    <row r="53" spans="1:11">
      <c r="A53" t="str">
        <f>IFERROR(INDEX(T項目!$A:$A,MATCH(アイテムビューア!$C53,T項目!$D:$D,0)),"")</f>
        <v>S-001</v>
      </c>
      <c r="B53" t="str">
        <f>IFERROR(INDEX(S項目!$B:$B,MATCH(アイテムビューア!$A53,S項目!$A:$A,0)),"")</f>
        <v>玄関棚</v>
      </c>
      <c r="C53" t="str">
        <f>IFERROR(INDEX(C項目!$A:$A,MATCH(アイテムビューア!$E53,C項目!$D:$D,0)),"")</f>
        <v>T-0105</v>
      </c>
      <c r="D53" t="str">
        <f>IFERROR(INDEX(T項目!$E:$E,MATCH(アイテムビューア!$C53,T項目!$D:$D,0)),"")</f>
        <v>上段四段目</v>
      </c>
      <c r="E53" t="str">
        <f>アイテム項目!$A53</f>
        <v>C-010501</v>
      </c>
      <c r="F53" t="str">
        <f>IFERROR(INDEX(C項目!$E:$E,MATCH(アイテムビューア!$E53,C項目!$D:$D,0)),"")</f>
        <v>車・モニタ箱</v>
      </c>
      <c r="G53" t="str">
        <f>アイテム項目!$E53</f>
        <v>I-00052</v>
      </c>
      <c r="H53" t="str">
        <f>アイテム項目!$F53</f>
        <v>車用カメラ</v>
      </c>
      <c r="I53" t="str">
        <f>アイテム項目!$G53</f>
        <v>電材</v>
      </c>
      <c r="J53" t="str">
        <f>アイテム項目!$H53</f>
        <v>C</v>
      </c>
      <c r="K53" t="str">
        <f>アイテム項目!$I53</f>
        <v>未使用</v>
      </c>
    </row>
    <row r="54" spans="1:11">
      <c r="A54" t="str">
        <f>IFERROR(INDEX(T項目!$A:$A,MATCH(アイテムビューア!$C54,T項目!$D:$D,0)),"")</f>
        <v>S-001</v>
      </c>
      <c r="B54" t="str">
        <f>IFERROR(INDEX(S項目!$B:$B,MATCH(アイテムビューア!$A54,S項目!$A:$A,0)),"")</f>
        <v>玄関棚</v>
      </c>
      <c r="C54" t="str">
        <f>IFERROR(INDEX(C項目!$A:$A,MATCH(アイテムビューア!$E54,C項目!$D:$D,0)),"")</f>
        <v>T-0105</v>
      </c>
      <c r="D54" t="str">
        <f>IFERROR(INDEX(T項目!$E:$E,MATCH(アイテムビューア!$C54,T項目!$D:$D,0)),"")</f>
        <v>上段四段目</v>
      </c>
      <c r="E54" t="str">
        <f>アイテム項目!$A54</f>
        <v>C-010501</v>
      </c>
      <c r="F54" t="str">
        <f>IFERROR(INDEX(C項目!$E:$E,MATCH(アイテムビューア!$E54,C項目!$D:$D,0)),"")</f>
        <v>車・モニタ箱</v>
      </c>
      <c r="G54" t="str">
        <f>アイテム項目!$E54</f>
        <v>I-00053</v>
      </c>
      <c r="H54" t="str">
        <f>アイテム項目!$F54</f>
        <v>モニタ</v>
      </c>
      <c r="I54" t="str">
        <f>アイテム項目!$G54</f>
        <v>電材</v>
      </c>
      <c r="J54" t="str">
        <f>アイテム項目!$H54</f>
        <v>C</v>
      </c>
      <c r="K54" t="str">
        <f>アイテム項目!$I54</f>
        <v>未使用</v>
      </c>
    </row>
    <row r="55" spans="1:11">
      <c r="A55" t="str">
        <f>IFERROR(INDEX(T項目!$A:$A,MATCH(アイテムビューア!$C55,T項目!$D:$D,0)),"")</f>
        <v>S-001</v>
      </c>
      <c r="B55" t="str">
        <f>IFERROR(INDEX(S項目!$B:$B,MATCH(アイテムビューア!$A55,S項目!$A:$A,0)),"")</f>
        <v>玄関棚</v>
      </c>
      <c r="C55" t="str">
        <f>IFERROR(INDEX(C項目!$A:$A,MATCH(アイテムビューア!$E55,C項目!$D:$D,0)),"")</f>
        <v>T-0105</v>
      </c>
      <c r="D55" t="str">
        <f>IFERROR(INDEX(T項目!$E:$E,MATCH(アイテムビューア!$C55,T項目!$D:$D,0)),"")</f>
        <v>上段四段目</v>
      </c>
      <c r="E55" t="str">
        <f>アイテム項目!$A55</f>
        <v>C-010502</v>
      </c>
      <c r="F55" t="str">
        <f>IFERROR(INDEX(C項目!$E:$E,MATCH(アイテムビューア!$E55,C項目!$D:$D,0)),"")</f>
        <v>工具コンテナ</v>
      </c>
      <c r="G55" t="str">
        <f>アイテム項目!$E55</f>
        <v>I-00054</v>
      </c>
      <c r="H55" t="str">
        <f>アイテム項目!$F55</f>
        <v>ドライバー類（大）</v>
      </c>
      <c r="I55" t="str">
        <f>アイテム項目!$G55</f>
        <v>工具</v>
      </c>
      <c r="J55" t="str">
        <f>アイテム項目!$H55</f>
        <v>C</v>
      </c>
      <c r="K55" t="str">
        <f>アイテム項目!$I55</f>
        <v>黄黒太グリップ</v>
      </c>
    </row>
    <row r="56" spans="1:11">
      <c r="A56" t="str">
        <f>IFERROR(INDEX(T項目!$A:$A,MATCH(アイテムビューア!$C56,T項目!$D:$D,0)),"")</f>
        <v>S-001</v>
      </c>
      <c r="B56" t="str">
        <f>IFERROR(INDEX(S項目!$B:$B,MATCH(アイテムビューア!$A56,S項目!$A:$A,0)),"")</f>
        <v>玄関棚</v>
      </c>
      <c r="C56" t="str">
        <f>IFERROR(INDEX(C項目!$A:$A,MATCH(アイテムビューア!$E56,C項目!$D:$D,0)),"")</f>
        <v>T-0105</v>
      </c>
      <c r="D56" t="str">
        <f>IFERROR(INDEX(T項目!$E:$E,MATCH(アイテムビューア!$C56,T項目!$D:$D,0)),"")</f>
        <v>上段四段目</v>
      </c>
      <c r="E56" t="str">
        <f>アイテム項目!$A56</f>
        <v>C-010502</v>
      </c>
      <c r="F56" t="str">
        <f>IFERROR(INDEX(C項目!$E:$E,MATCH(アイテムビューア!$E56,C項目!$D:$D,0)),"")</f>
        <v>工具コンテナ</v>
      </c>
      <c r="G56" t="str">
        <f>アイテム項目!$E56</f>
        <v>I-00055</v>
      </c>
      <c r="H56" t="str">
        <f>アイテム項目!$F56</f>
        <v>ドライバー類（中）</v>
      </c>
      <c r="I56" t="str">
        <f>アイテム項目!$G56</f>
        <v>工具</v>
      </c>
      <c r="J56" t="str">
        <f>アイテム項目!$H56</f>
        <v>C</v>
      </c>
      <c r="K56" t="str">
        <f>アイテム項目!$I56</f>
        <v>赤・黒グリップ</v>
      </c>
    </row>
    <row r="57" spans="1:11">
      <c r="A57" t="str">
        <f>IFERROR(INDEX(T項目!$A:$A,MATCH(アイテムビューア!$C57,T項目!$D:$D,0)),"")</f>
        <v>S-001</v>
      </c>
      <c r="B57" t="str">
        <f>IFERROR(INDEX(S項目!$B:$B,MATCH(アイテムビューア!$A57,S項目!$A:$A,0)),"")</f>
        <v>玄関棚</v>
      </c>
      <c r="C57" t="str">
        <f>IFERROR(INDEX(C項目!$A:$A,MATCH(アイテムビューア!$E57,C項目!$D:$D,0)),"")</f>
        <v>T-0105</v>
      </c>
      <c r="D57" t="str">
        <f>IFERROR(INDEX(T項目!$E:$E,MATCH(アイテムビューア!$C57,T項目!$D:$D,0)),"")</f>
        <v>上段四段目</v>
      </c>
      <c r="E57" t="str">
        <f>アイテム項目!$A57</f>
        <v>C-010502</v>
      </c>
      <c r="F57" t="str">
        <f>IFERROR(INDEX(C項目!$E:$E,MATCH(アイテムビューア!$E57,C項目!$D:$D,0)),"")</f>
        <v>工具コンテナ</v>
      </c>
      <c r="G57" t="str">
        <f>アイテム項目!$E57</f>
        <v>I-00056</v>
      </c>
      <c r="H57" t="str">
        <f>アイテム項目!$F57</f>
        <v>ドライバー類（小）</v>
      </c>
      <c r="I57" t="str">
        <f>アイテム項目!$G57</f>
        <v>工具</v>
      </c>
      <c r="J57" t="str">
        <f>アイテム項目!$H57</f>
        <v>C</v>
      </c>
      <c r="K57" t="str">
        <f>アイテム項目!$I57</f>
        <v>精密</v>
      </c>
    </row>
    <row r="58" spans="1:11">
      <c r="A58" t="str">
        <f>IFERROR(INDEX(T項目!$A:$A,MATCH(アイテムビューア!$C58,T項目!$D:$D,0)),"")</f>
        <v>S-001</v>
      </c>
      <c r="B58" t="str">
        <f>IFERROR(INDEX(S項目!$B:$B,MATCH(アイテムビューア!$A58,S項目!$A:$A,0)),"")</f>
        <v>玄関棚</v>
      </c>
      <c r="C58" t="str">
        <f>IFERROR(INDEX(C項目!$A:$A,MATCH(アイテムビューア!$E58,C項目!$D:$D,0)),"")</f>
        <v>T-0105</v>
      </c>
      <c r="D58" t="str">
        <f>IFERROR(INDEX(T項目!$E:$E,MATCH(アイテムビューア!$C58,T項目!$D:$D,0)),"")</f>
        <v>上段四段目</v>
      </c>
      <c r="E58" t="str">
        <f>アイテム項目!$A58</f>
        <v>C-010502</v>
      </c>
      <c r="F58" t="str">
        <f>IFERROR(INDEX(C項目!$E:$E,MATCH(アイテムビューア!$E58,C項目!$D:$D,0)),"")</f>
        <v>工具コンテナ</v>
      </c>
      <c r="G58" t="str">
        <f>アイテム項目!$E58</f>
        <v>I-00057</v>
      </c>
      <c r="H58" t="str">
        <f>アイテム項目!$F58</f>
        <v>精密ドライバーセット</v>
      </c>
      <c r="I58" t="str">
        <f>アイテム項目!$G58</f>
        <v>工具</v>
      </c>
      <c r="J58" t="str">
        <f>アイテム項目!$H58</f>
        <v>C</v>
      </c>
      <c r="K58" t="str">
        <f>アイテム項目!$I58</f>
        <v>青黄ケース入り</v>
      </c>
    </row>
    <row r="59" spans="1:11">
      <c r="A59" t="str">
        <f>IFERROR(INDEX(T項目!$A:$A,MATCH(アイテムビューア!$C59,T項目!$D:$D,0)),"")</f>
        <v>S-001</v>
      </c>
      <c r="B59" t="str">
        <f>IFERROR(INDEX(S項目!$B:$B,MATCH(アイテムビューア!$A59,S項目!$A:$A,0)),"")</f>
        <v>玄関棚</v>
      </c>
      <c r="C59" t="str">
        <f>IFERROR(INDEX(C項目!$A:$A,MATCH(アイテムビューア!$E59,C項目!$D:$D,0)),"")</f>
        <v>T-0105</v>
      </c>
      <c r="D59" t="str">
        <f>IFERROR(INDEX(T項目!$E:$E,MATCH(アイテムビューア!$C59,T項目!$D:$D,0)),"")</f>
        <v>上段四段目</v>
      </c>
      <c r="E59" t="str">
        <f>アイテム項目!$A59</f>
        <v>C-010502</v>
      </c>
      <c r="F59" t="str">
        <f>IFERROR(INDEX(C項目!$E:$E,MATCH(アイテムビューア!$E59,C項目!$D:$D,0)),"")</f>
        <v>工具コンテナ</v>
      </c>
      <c r="G59" t="str">
        <f>アイテム項目!$E59</f>
        <v>I-00058</v>
      </c>
      <c r="H59" t="str">
        <f>アイテム項目!$F59</f>
        <v>ペンチ・ニッパー類（大）</v>
      </c>
      <c r="I59" t="str">
        <f>アイテム項目!$G59</f>
        <v>工具</v>
      </c>
      <c r="J59" t="str">
        <f>アイテム項目!$H59</f>
        <v>C</v>
      </c>
      <c r="K59" t="str">
        <f>アイテム項目!$I59</f>
        <v>錆びあり</v>
      </c>
    </row>
    <row r="60" spans="1:11">
      <c r="A60" t="str">
        <f>IFERROR(INDEX(T項目!$A:$A,MATCH(アイテムビューア!$C60,T項目!$D:$D,0)),"")</f>
        <v>S-001</v>
      </c>
      <c r="B60" t="str">
        <f>IFERROR(INDEX(S項目!$B:$B,MATCH(アイテムビューア!$A60,S項目!$A:$A,0)),"")</f>
        <v>玄関棚</v>
      </c>
      <c r="C60" t="str">
        <f>IFERROR(INDEX(C項目!$A:$A,MATCH(アイテムビューア!$E60,C項目!$D:$D,0)),"")</f>
        <v>T-0105</v>
      </c>
      <c r="D60" t="str">
        <f>IFERROR(INDEX(T項目!$E:$E,MATCH(アイテムビューア!$C60,T項目!$D:$D,0)),"")</f>
        <v>上段四段目</v>
      </c>
      <c r="E60" t="str">
        <f>アイテム項目!$A60</f>
        <v>C-010502</v>
      </c>
      <c r="F60" t="str">
        <f>IFERROR(INDEX(C項目!$E:$E,MATCH(アイテムビューア!$E60,C項目!$D:$D,0)),"")</f>
        <v>工具コンテナ</v>
      </c>
      <c r="G60" t="str">
        <f>アイテム項目!$E60</f>
        <v>I-00059</v>
      </c>
      <c r="H60" t="str">
        <f>アイテム項目!$F60</f>
        <v>ペンチ・ニッパー類（小）</v>
      </c>
      <c r="I60" t="str">
        <f>アイテム項目!$G60</f>
        <v>工具</v>
      </c>
      <c r="J60" t="str">
        <f>アイテム項目!$H60</f>
        <v>C</v>
      </c>
      <c r="K60" t="str">
        <f>アイテム項目!$I60</f>
        <v>錆びあり</v>
      </c>
    </row>
    <row r="61" spans="1:11">
      <c r="A61" t="str">
        <f>IFERROR(INDEX(T項目!$A:$A,MATCH(アイテムビューア!$C61,T項目!$D:$D,0)),"")</f>
        <v>S-001</v>
      </c>
      <c r="B61" t="str">
        <f>IFERROR(INDEX(S項目!$B:$B,MATCH(アイテムビューア!$A61,S項目!$A:$A,0)),"")</f>
        <v>玄関棚</v>
      </c>
      <c r="C61" t="str">
        <f>IFERROR(INDEX(C項目!$A:$A,MATCH(アイテムビューア!$E61,C項目!$D:$D,0)),"")</f>
        <v>T-0105</v>
      </c>
      <c r="D61" t="str">
        <f>IFERROR(INDEX(T項目!$E:$E,MATCH(アイテムビューア!$C61,T項目!$D:$D,0)),"")</f>
        <v>上段四段目</v>
      </c>
      <c r="E61" t="str">
        <f>アイテム項目!$A61</f>
        <v>C-010502</v>
      </c>
      <c r="F61" t="str">
        <f>IFERROR(INDEX(C項目!$E:$E,MATCH(アイテムビューア!$E61,C項目!$D:$D,0)),"")</f>
        <v>工具コンテナ</v>
      </c>
      <c r="G61" t="str">
        <f>アイテム項目!$E61</f>
        <v>I-00060</v>
      </c>
      <c r="H61" t="str">
        <f>アイテム項目!$F61</f>
        <v>レンチ・スパナ</v>
      </c>
      <c r="I61" t="str">
        <f>アイテム項目!$G61</f>
        <v>工具</v>
      </c>
      <c r="J61" t="str">
        <f>アイテム項目!$H61</f>
        <v>C</v>
      </c>
      <c r="K61" t="str">
        <f>アイテム項目!$I61</f>
        <v>2本</v>
      </c>
    </row>
    <row r="62" spans="1:11">
      <c r="A62" t="str">
        <f>IFERROR(INDEX(T項目!$A:$A,MATCH(アイテムビューア!$C62,T項目!$D:$D,0)),"")</f>
        <v>S-001</v>
      </c>
      <c r="B62" t="str">
        <f>IFERROR(INDEX(S項目!$B:$B,MATCH(アイテムビューア!$A62,S項目!$A:$A,0)),"")</f>
        <v>玄関棚</v>
      </c>
      <c r="C62" t="str">
        <f>IFERROR(INDEX(C項目!$A:$A,MATCH(アイテムビューア!$E62,C項目!$D:$D,0)),"")</f>
        <v>T-0105</v>
      </c>
      <c r="D62" t="str">
        <f>IFERROR(INDEX(T項目!$E:$E,MATCH(アイテムビューア!$C62,T項目!$D:$D,0)),"")</f>
        <v>上段四段目</v>
      </c>
      <c r="E62" t="str">
        <f>アイテム項目!$A62</f>
        <v>C-010502</v>
      </c>
      <c r="F62" t="str">
        <f>IFERROR(INDEX(C項目!$E:$E,MATCH(アイテムビューア!$E62,C項目!$D:$D,0)),"")</f>
        <v>工具コンテナ</v>
      </c>
      <c r="G62" t="str">
        <f>アイテム項目!$E62</f>
        <v>I-00061</v>
      </c>
      <c r="H62" t="str">
        <f>アイテム項目!$F62</f>
        <v>バイスプライヤー（小）</v>
      </c>
      <c r="I62" t="str">
        <f>アイテム項目!$G62</f>
        <v>工具</v>
      </c>
      <c r="J62" t="str">
        <f>アイテム項目!$H62</f>
        <v>C</v>
      </c>
      <c r="K62" t="str">
        <f>アイテム項目!$I62</f>
        <v>銀色</v>
      </c>
    </row>
    <row r="63" spans="1:11">
      <c r="A63" t="str">
        <f>IFERROR(INDEX(T項目!$A:$A,MATCH(アイテムビューア!$C63,T項目!$D:$D,0)),"")</f>
        <v>S-001</v>
      </c>
      <c r="B63" t="str">
        <f>IFERROR(INDEX(S項目!$B:$B,MATCH(アイテムビューア!$A63,S項目!$A:$A,0)),"")</f>
        <v>玄関棚</v>
      </c>
      <c r="C63" t="str">
        <f>IFERROR(INDEX(C項目!$A:$A,MATCH(アイテムビューア!$E63,C項目!$D:$D,0)),"")</f>
        <v>T-0105</v>
      </c>
      <c r="D63" t="str">
        <f>IFERROR(INDEX(T項目!$E:$E,MATCH(アイテムビューア!$C63,T項目!$D:$D,0)),"")</f>
        <v>上段四段目</v>
      </c>
      <c r="E63" t="str">
        <f>アイテム項目!$A63</f>
        <v>C-010502</v>
      </c>
      <c r="F63" t="str">
        <f>IFERROR(INDEX(C項目!$E:$E,MATCH(アイテムビューア!$E63,C項目!$D:$D,0)),"")</f>
        <v>工具コンテナ</v>
      </c>
      <c r="G63" t="str">
        <f>アイテム項目!$E63</f>
        <v>I-00062</v>
      </c>
      <c r="H63" t="str">
        <f>アイテム項目!$F63</f>
        <v>ヤスリ類</v>
      </c>
      <c r="I63" t="str">
        <f>アイテム項目!$G63</f>
        <v>工具</v>
      </c>
      <c r="J63" t="str">
        <f>アイテム項目!$H63</f>
        <v>C</v>
      </c>
      <c r="K63" t="str">
        <f>アイテム項目!$I63</f>
        <v>平ヤスリ3本</v>
      </c>
    </row>
    <row r="64" spans="1:11">
      <c r="A64" t="str">
        <f>IFERROR(INDEX(T項目!$A:$A,MATCH(アイテムビューア!$C64,T項目!$D:$D,0)),"")</f>
        <v>S-001</v>
      </c>
      <c r="B64" t="str">
        <f>IFERROR(INDEX(S項目!$B:$B,MATCH(アイテムビューア!$A64,S項目!$A:$A,0)),"")</f>
        <v>玄関棚</v>
      </c>
      <c r="C64" t="str">
        <f>IFERROR(INDEX(C項目!$A:$A,MATCH(アイテムビューア!$E64,C項目!$D:$D,0)),"")</f>
        <v>T-0105</v>
      </c>
      <c r="D64" t="str">
        <f>IFERROR(INDEX(T項目!$E:$E,MATCH(アイテムビューア!$C64,T項目!$D:$D,0)),"")</f>
        <v>上段四段目</v>
      </c>
      <c r="E64" t="str">
        <f>アイテム項目!$A64</f>
        <v>C-010502</v>
      </c>
      <c r="F64" t="str">
        <f>IFERROR(INDEX(C項目!$E:$E,MATCH(アイテムビューア!$E64,C項目!$D:$D,0)),"")</f>
        <v>工具コンテナ</v>
      </c>
      <c r="G64" t="str">
        <f>アイテム項目!$E64</f>
        <v>I-00063</v>
      </c>
      <c r="H64" t="str">
        <f>アイテム項目!$F64</f>
        <v>カッター・スクレーパー</v>
      </c>
      <c r="I64" t="str">
        <f>アイテム項目!$G64</f>
        <v>工具</v>
      </c>
      <c r="J64" t="str">
        <f>アイテム項目!$H64</f>
        <v>C</v>
      </c>
      <c r="K64" t="str">
        <f>アイテム項目!$I64</f>
        <v>黄カッター</v>
      </c>
    </row>
    <row r="65" spans="1:11">
      <c r="A65" t="str">
        <f>IFERROR(INDEX(T項目!$A:$A,MATCH(アイテムビューア!$C65,T項目!$D:$D,0)),"")</f>
        <v>S-001</v>
      </c>
      <c r="B65" t="str">
        <f>IFERROR(INDEX(S項目!$B:$B,MATCH(アイテムビューア!$A65,S項目!$A:$A,0)),"")</f>
        <v>玄関棚</v>
      </c>
      <c r="C65" t="str">
        <f>IFERROR(INDEX(C項目!$A:$A,MATCH(アイテムビューア!$E65,C項目!$D:$D,0)),"")</f>
        <v>T-0105</v>
      </c>
      <c r="D65" t="str">
        <f>IFERROR(INDEX(T項目!$E:$E,MATCH(アイテムビューア!$C65,T項目!$D:$D,0)),"")</f>
        <v>上段四段目</v>
      </c>
      <c r="E65" t="str">
        <f>アイテム項目!$A65</f>
        <v>C-010502</v>
      </c>
      <c r="F65" t="str">
        <f>IFERROR(INDEX(C項目!$E:$E,MATCH(アイテムビューア!$E65,C項目!$D:$D,0)),"")</f>
        <v>工具コンテナ</v>
      </c>
      <c r="G65" t="str">
        <f>アイテム項目!$E65</f>
        <v>I-00064</v>
      </c>
      <c r="H65" t="str">
        <f>アイテム項目!$F65</f>
        <v>彫刻刀・切り出し小刀</v>
      </c>
      <c r="I65" t="str">
        <f>アイテム項目!$G65</f>
        <v>工具</v>
      </c>
      <c r="J65" t="str">
        <f>アイテム項目!$H65</f>
        <v>C</v>
      </c>
      <c r="K65" t="str">
        <f>アイテム項目!$I65</f>
        <v>3本</v>
      </c>
    </row>
    <row r="66" spans="1:11">
      <c r="A66" t="str">
        <f>IFERROR(INDEX(T項目!$A:$A,MATCH(アイテムビューア!$C66,T項目!$D:$D,0)),"")</f>
        <v>S-001</v>
      </c>
      <c r="B66" t="str">
        <f>IFERROR(INDEX(S項目!$B:$B,MATCH(アイテムビューア!$A66,S項目!$A:$A,0)),"")</f>
        <v>玄関棚</v>
      </c>
      <c r="C66" t="str">
        <f>IFERROR(INDEX(C項目!$A:$A,MATCH(アイテムビューア!$E66,C項目!$D:$D,0)),"")</f>
        <v>T-0105</v>
      </c>
      <c r="D66" t="str">
        <f>IFERROR(INDEX(T項目!$E:$E,MATCH(アイテムビューア!$C66,T項目!$D:$D,0)),"")</f>
        <v>上段四段目</v>
      </c>
      <c r="E66" t="str">
        <f>アイテム項目!$A66</f>
        <v>C-010502</v>
      </c>
      <c r="F66" t="str">
        <f>IFERROR(INDEX(C項目!$E:$E,MATCH(アイテムビューア!$E66,C項目!$D:$D,0)),"")</f>
        <v>工具コンテナ</v>
      </c>
      <c r="G66" t="str">
        <f>アイテム項目!$E66</f>
        <v>I-00065</v>
      </c>
      <c r="H66" t="str">
        <f>アイテム項目!$F66</f>
        <v>タガネ・ピック工具</v>
      </c>
      <c r="I66" t="str">
        <f>アイテム項目!$G66</f>
        <v>工具</v>
      </c>
      <c r="J66" t="str">
        <f>アイテム項目!$H66</f>
        <v>C</v>
      </c>
      <c r="K66" t="str">
        <f>アイテム項目!$I66</f>
        <v>金属製</v>
      </c>
    </row>
    <row r="67" spans="1:11">
      <c r="A67" t="str">
        <f>IFERROR(INDEX(T項目!$A:$A,MATCH(アイテムビューア!$C67,T項目!$D:$D,0)),"")</f>
        <v>S-001</v>
      </c>
      <c r="B67" t="str">
        <f>IFERROR(INDEX(S項目!$B:$B,MATCH(アイテムビューア!$A67,S項目!$A:$A,0)),"")</f>
        <v>玄関棚</v>
      </c>
      <c r="C67" t="str">
        <f>IFERROR(INDEX(C項目!$A:$A,MATCH(アイテムビューア!$E67,C項目!$D:$D,0)),"")</f>
        <v>T-0105</v>
      </c>
      <c r="D67" t="str">
        <f>IFERROR(INDEX(T項目!$E:$E,MATCH(アイテムビューア!$C67,T項目!$D:$D,0)),"")</f>
        <v>上段四段目</v>
      </c>
      <c r="E67" t="str">
        <f>アイテム項目!$A67</f>
        <v>C-010502</v>
      </c>
      <c r="F67" t="str">
        <f>IFERROR(INDEX(C項目!$E:$E,MATCH(アイテムビューア!$E67,C項目!$D:$D,0)),"")</f>
        <v>工具コンテナ</v>
      </c>
      <c r="G67" t="str">
        <f>アイテム項目!$E67</f>
        <v>I-00066</v>
      </c>
      <c r="H67" t="str">
        <f>アイテム項目!$F67</f>
        <v>木製ブロック</v>
      </c>
      <c r="I67" t="str">
        <f>アイテム項目!$G67</f>
        <v>不明</v>
      </c>
      <c r="J67" t="str">
        <f>アイテム項目!$H67</f>
        <v>C</v>
      </c>
      <c r="K67" t="str">
        <f>アイテム項目!$I67</f>
        <v>3点</v>
      </c>
    </row>
    <row r="68" spans="1:11">
      <c r="A68" t="str">
        <f>IFERROR(INDEX(T項目!$A:$A,MATCH(アイテムビューア!$C68,T項目!$D:$D,0)),"")</f>
        <v/>
      </c>
      <c r="B68" t="str">
        <f>IFERROR(INDEX(S項目!$B:$B,MATCH(アイテムビューア!$A68,S項目!$A:$A,0)),"")</f>
        <v/>
      </c>
      <c r="C68" t="str">
        <f>IFERROR(INDEX(C項目!$A:$A,MATCH(アイテムビューア!$E68,C項目!$D:$D,0)),"")</f>
        <v/>
      </c>
      <c r="D68" t="str">
        <f>IFERROR(INDEX(T項目!$E:$E,MATCH(アイテムビューア!$C68,T項目!$D:$D,0)),"")</f>
        <v/>
      </c>
      <c r="E68" t="str">
        <f>アイテム項目!$A68</f>
        <v>T-0106</v>
      </c>
      <c r="F68" t="str">
        <f>IFERROR(INDEX(C項目!$E:$E,MATCH(アイテムビューア!$E68,C項目!$D:$D,0)),"")</f>
        <v/>
      </c>
      <c r="G68" t="str">
        <f>アイテム項目!$E68</f>
        <v>I-00067</v>
      </c>
      <c r="H68" t="str">
        <f>アイテム項目!$F68</f>
        <v>茶白ラインロールテープ</v>
      </c>
      <c r="I68" t="str">
        <f>アイテム項目!$G68</f>
        <v>テープ</v>
      </c>
      <c r="J68" t="str">
        <f>アイテム項目!$H68</f>
        <v>B</v>
      </c>
      <c r="K68">
        <f>アイテム項目!$I68</f>
        <v>0</v>
      </c>
    </row>
    <row r="69" spans="1:11">
      <c r="A69" t="str">
        <f>IFERROR(INDEX(T項目!$A:$A,MATCH(アイテムビューア!$C69,T項目!$D:$D,0)),"")</f>
        <v/>
      </c>
      <c r="B69" t="str">
        <f>IFERROR(INDEX(S項目!$B:$B,MATCH(アイテムビューア!$A69,S項目!$A:$A,0)),"")</f>
        <v/>
      </c>
      <c r="C69" t="str">
        <f>IFERROR(INDEX(C項目!$A:$A,MATCH(アイテムビューア!$E69,C項目!$D:$D,0)),"")</f>
        <v/>
      </c>
      <c r="D69" t="str">
        <f>IFERROR(INDEX(T項目!$E:$E,MATCH(アイテムビューア!$C69,T項目!$D:$D,0)),"")</f>
        <v/>
      </c>
      <c r="E69" t="str">
        <f>アイテム項目!$A69</f>
        <v>T-0106</v>
      </c>
      <c r="F69" t="str">
        <f>IFERROR(INDEX(C項目!$E:$E,MATCH(アイテムビューア!$E69,C項目!$D:$D,0)),"")</f>
        <v/>
      </c>
      <c r="G69" t="str">
        <f>アイテム項目!$E69</f>
        <v>I-00068</v>
      </c>
      <c r="H69" t="str">
        <f>アイテム項目!$F69</f>
        <v>茶色ロールシート</v>
      </c>
      <c r="I69" t="str">
        <f>アイテム項目!$G69</f>
        <v>テープ</v>
      </c>
      <c r="J69" t="str">
        <f>アイテム項目!$H69</f>
        <v>B</v>
      </c>
      <c r="K69">
        <f>アイテム項目!$I69</f>
        <v>0</v>
      </c>
    </row>
    <row r="70" spans="1:11">
      <c r="A70" t="str">
        <f>IFERROR(INDEX(T項目!$A:$A,MATCH(アイテムビューア!$C70,T項目!$D:$D,0)),"")</f>
        <v/>
      </c>
      <c r="B70" t="str">
        <f>IFERROR(INDEX(S項目!$B:$B,MATCH(アイテムビューア!$A70,S項目!$A:$A,0)),"")</f>
        <v/>
      </c>
      <c r="C70" t="str">
        <f>IFERROR(INDEX(C項目!$A:$A,MATCH(アイテムビューア!$E70,C項目!$D:$D,0)),"")</f>
        <v/>
      </c>
      <c r="D70" t="str">
        <f>IFERROR(INDEX(T項目!$E:$E,MATCH(アイテムビューア!$C70,T項目!$D:$D,0)),"")</f>
        <v/>
      </c>
      <c r="E70" t="str">
        <f>アイテム項目!$A70</f>
        <v>T-0106</v>
      </c>
      <c r="F70" t="str">
        <f>IFERROR(INDEX(C項目!$E:$E,MATCH(アイテムビューア!$E70,C項目!$D:$D,0)),"")</f>
        <v/>
      </c>
      <c r="G70" t="str">
        <f>アイテム項目!$E70</f>
        <v>I-00069</v>
      </c>
      <c r="H70" t="str">
        <f>アイテム項目!$F70</f>
        <v>白ロールテープ</v>
      </c>
      <c r="I70" t="str">
        <f>アイテム項目!$G70</f>
        <v>テープ</v>
      </c>
      <c r="J70" t="str">
        <f>アイテム項目!$H70</f>
        <v>B</v>
      </c>
      <c r="K70">
        <f>アイテム項目!$I70</f>
        <v>0</v>
      </c>
    </row>
    <row r="71" spans="1:11">
      <c r="A71" t="str">
        <f>IFERROR(INDEX(T項目!$A:$A,MATCH(アイテムビューア!$C71,T項目!$D:$D,0)),"")</f>
        <v/>
      </c>
      <c r="B71" t="str">
        <f>IFERROR(INDEX(S項目!$B:$B,MATCH(アイテムビューア!$A71,S項目!$A:$A,0)),"")</f>
        <v/>
      </c>
      <c r="C71" t="str">
        <f>IFERROR(INDEX(C項目!$A:$A,MATCH(アイテムビューア!$E71,C項目!$D:$D,0)),"")</f>
        <v/>
      </c>
      <c r="D71" t="str">
        <f>IFERROR(INDEX(T項目!$E:$E,MATCH(アイテムビューア!$C71,T項目!$D:$D,0)),"")</f>
        <v/>
      </c>
      <c r="E71" t="str">
        <f>アイテム項目!$A71</f>
        <v>T-0106</v>
      </c>
      <c r="F71" t="str">
        <f>IFERROR(INDEX(C項目!$E:$E,MATCH(アイテムビューア!$E71,C項目!$D:$D,0)),"")</f>
        <v/>
      </c>
      <c r="G71" t="str">
        <f>アイテム項目!$E71</f>
        <v>I-00070</v>
      </c>
      <c r="H71" t="str">
        <f>アイテム項目!$F71</f>
        <v>黒ロールテープ</v>
      </c>
      <c r="I71" t="str">
        <f>アイテム項目!$G71</f>
        <v>テープ</v>
      </c>
      <c r="J71" t="str">
        <f>アイテム項目!$H71</f>
        <v>B</v>
      </c>
      <c r="K71">
        <f>アイテム項目!$I71</f>
        <v>0</v>
      </c>
    </row>
    <row r="72" spans="1:11">
      <c r="A72" t="str">
        <f>IFERROR(INDEX(T項目!$A:$A,MATCH(アイテムビューア!$C72,T項目!$D:$D,0)),"")</f>
        <v/>
      </c>
      <c r="B72" t="str">
        <f>IFERROR(INDEX(S項目!$B:$B,MATCH(アイテムビューア!$A72,S項目!$A:$A,0)),"")</f>
        <v/>
      </c>
      <c r="C72" t="str">
        <f>IFERROR(INDEX(C項目!$A:$A,MATCH(アイテムビューア!$E72,C項目!$D:$D,0)),"")</f>
        <v/>
      </c>
      <c r="D72" t="str">
        <f>IFERROR(INDEX(T項目!$E:$E,MATCH(アイテムビューア!$C72,T項目!$D:$D,0)),"")</f>
        <v/>
      </c>
      <c r="E72" t="str">
        <f>アイテム項目!$A72</f>
        <v>T-0106</v>
      </c>
      <c r="F72" t="str">
        <f>IFERROR(INDEX(C項目!$E:$E,MATCH(アイテムビューア!$E72,C項目!$D:$D,0)),"")</f>
        <v/>
      </c>
      <c r="G72" t="str">
        <f>アイテム項目!$E72</f>
        <v>I-00071</v>
      </c>
      <c r="H72" t="str">
        <f>アイテム項目!$F72</f>
        <v>グルースティック</v>
      </c>
      <c r="I72" t="str">
        <f>アイテム項目!$G72</f>
        <v>接着</v>
      </c>
      <c r="J72" t="str">
        <f>アイテム項目!$H72</f>
        <v>B</v>
      </c>
      <c r="K72">
        <f>アイテム項目!$I72</f>
        <v>0</v>
      </c>
    </row>
    <row r="73" spans="1:11">
      <c r="A73" t="str">
        <f>IFERROR(INDEX(T項目!$A:$A,MATCH(アイテムビューア!$C73,T項目!$D:$D,0)),"")</f>
        <v/>
      </c>
      <c r="B73" t="str">
        <f>IFERROR(INDEX(S項目!$B:$B,MATCH(アイテムビューア!$A73,S項目!$A:$A,0)),"")</f>
        <v/>
      </c>
      <c r="C73" t="str">
        <f>IFERROR(INDEX(C項目!$A:$A,MATCH(アイテムビューア!$E73,C項目!$D:$D,0)),"")</f>
        <v/>
      </c>
      <c r="D73" t="str">
        <f>IFERROR(INDEX(T項目!$E:$E,MATCH(アイテムビューア!$C73,T項目!$D:$D,0)),"")</f>
        <v/>
      </c>
      <c r="E73" t="str">
        <f>アイテム項目!$A73</f>
        <v>T-0106</v>
      </c>
      <c r="F73" t="str">
        <f>IFERROR(INDEX(C項目!$E:$E,MATCH(アイテムビューア!$E73,C項目!$D:$D,0)),"")</f>
        <v/>
      </c>
      <c r="G73" t="str">
        <f>アイテム項目!$E73</f>
        <v>I-00072</v>
      </c>
      <c r="H73" t="str">
        <f>アイテム項目!$F73</f>
        <v>カッターナイフ（大型・黄黒）</v>
      </c>
      <c r="I73" t="str">
        <f>アイテム項目!$G73</f>
        <v>工具</v>
      </c>
      <c r="J73" t="str">
        <f>アイテム項目!$H73</f>
        <v>B</v>
      </c>
      <c r="K73">
        <f>アイテム項目!$I73</f>
        <v>0</v>
      </c>
    </row>
    <row r="74" spans="1:11">
      <c r="A74" t="str">
        <f>IFERROR(INDEX(T項目!$A:$A,MATCH(アイテムビューア!$C74,T項目!$D:$D,0)),"")</f>
        <v/>
      </c>
      <c r="B74" t="str">
        <f>IFERROR(INDEX(S項目!$B:$B,MATCH(アイテムビューア!$A74,S項目!$A:$A,0)),"")</f>
        <v/>
      </c>
      <c r="C74" t="str">
        <f>IFERROR(INDEX(C項目!$A:$A,MATCH(アイテムビューア!$E74,C項目!$D:$D,0)),"")</f>
        <v/>
      </c>
      <c r="D74" t="str">
        <f>IFERROR(INDEX(T項目!$E:$E,MATCH(アイテムビューア!$C74,T項目!$D:$D,0)),"")</f>
        <v/>
      </c>
      <c r="E74" t="str">
        <f>アイテム項目!$A74</f>
        <v>T-0106</v>
      </c>
      <c r="F74" t="str">
        <f>IFERROR(INDEX(C項目!$E:$E,MATCH(アイテムビューア!$E74,C項目!$D:$D,0)),"")</f>
        <v/>
      </c>
      <c r="G74" t="str">
        <f>アイテム項目!$E74</f>
        <v>I-00073</v>
      </c>
      <c r="H74" t="str">
        <f>アイテム項目!$F74</f>
        <v>カッターナイフ（黄黒）</v>
      </c>
      <c r="I74" t="str">
        <f>アイテム項目!$G74</f>
        <v>工具</v>
      </c>
      <c r="J74" t="str">
        <f>アイテム項目!$H74</f>
        <v>B</v>
      </c>
      <c r="K74">
        <f>アイテム項目!$I74</f>
        <v>0</v>
      </c>
    </row>
    <row r="75" spans="1:11">
      <c r="A75" t="str">
        <f>IFERROR(INDEX(T項目!$A:$A,MATCH(アイテムビューア!$C75,T項目!$D:$D,0)),"")</f>
        <v/>
      </c>
      <c r="B75" t="str">
        <f>IFERROR(INDEX(S項目!$B:$B,MATCH(アイテムビューア!$A75,S項目!$A:$A,0)),"")</f>
        <v/>
      </c>
      <c r="C75" t="str">
        <f>IFERROR(INDEX(C項目!$A:$A,MATCH(アイテムビューア!$E75,C項目!$D:$D,0)),"")</f>
        <v/>
      </c>
      <c r="D75" t="str">
        <f>IFERROR(INDEX(T項目!$E:$E,MATCH(アイテムビューア!$C75,T項目!$D:$D,0)),"")</f>
        <v/>
      </c>
      <c r="E75" t="str">
        <f>アイテム項目!$A75</f>
        <v>T-0106</v>
      </c>
      <c r="F75" t="str">
        <f>IFERROR(INDEX(C項目!$E:$E,MATCH(アイテムビューア!$E75,C項目!$D:$D,0)),"")</f>
        <v/>
      </c>
      <c r="G75" t="str">
        <f>アイテム項目!$E75</f>
        <v>I-00074</v>
      </c>
      <c r="H75" t="str">
        <f>アイテム項目!$F75</f>
        <v>ハサミ（赤持ち手）</v>
      </c>
      <c r="I75" t="str">
        <f>アイテム項目!$G75</f>
        <v>工具</v>
      </c>
      <c r="J75" t="str">
        <f>アイテム項目!$H75</f>
        <v>B</v>
      </c>
      <c r="K75">
        <f>アイテム項目!$I75</f>
        <v>0</v>
      </c>
    </row>
    <row r="76" spans="1:11">
      <c r="A76" t="str">
        <f>IFERROR(INDEX(T項目!$A:$A,MATCH(アイテムビューア!$C76,T項目!$D:$D,0)),"")</f>
        <v/>
      </c>
      <c r="B76" t="str">
        <f>IFERROR(INDEX(S項目!$B:$B,MATCH(アイテムビューア!$A76,S項目!$A:$A,0)),"")</f>
        <v/>
      </c>
      <c r="C76" t="str">
        <f>IFERROR(INDEX(C項目!$A:$A,MATCH(アイテムビューア!$E76,C項目!$D:$D,0)),"")</f>
        <v/>
      </c>
      <c r="D76" t="str">
        <f>IFERROR(INDEX(T項目!$E:$E,MATCH(アイテムビューア!$C76,T項目!$D:$D,0)),"")</f>
        <v/>
      </c>
      <c r="E76" t="str">
        <f>アイテム項目!$A76</f>
        <v>T-0106</v>
      </c>
      <c r="F76" t="str">
        <f>IFERROR(INDEX(C項目!$E:$E,MATCH(アイテムビューア!$E76,C項目!$D:$D,0)),"")</f>
        <v/>
      </c>
      <c r="G76" t="str">
        <f>アイテム項目!$E76</f>
        <v>I-00075</v>
      </c>
      <c r="H76" t="str">
        <f>アイテム項目!$F76</f>
        <v>ハサミ（黒/グレー持ち手）</v>
      </c>
      <c r="I76" t="str">
        <f>アイテム項目!$G76</f>
        <v>工具</v>
      </c>
      <c r="J76" t="str">
        <f>アイテム項目!$H76</f>
        <v>B</v>
      </c>
      <c r="K76">
        <f>アイテム項目!$I76</f>
        <v>0</v>
      </c>
    </row>
    <row r="77" spans="1:11">
      <c r="A77" t="str">
        <f>IFERROR(INDEX(T項目!$A:$A,MATCH(アイテムビューア!$C77,T項目!$D:$D,0)),"")</f>
        <v/>
      </c>
      <c r="B77" t="str">
        <f>IFERROR(INDEX(S項目!$B:$B,MATCH(アイテムビューア!$A77,S項目!$A:$A,0)),"")</f>
        <v/>
      </c>
      <c r="C77" t="str">
        <f>IFERROR(INDEX(C項目!$A:$A,MATCH(アイテムビューア!$E77,C項目!$D:$D,0)),"")</f>
        <v/>
      </c>
      <c r="D77" t="str">
        <f>IFERROR(INDEX(T項目!$E:$E,MATCH(アイテムビューア!$C77,T項目!$D:$D,0)),"")</f>
        <v/>
      </c>
      <c r="E77" t="str">
        <f>アイテム項目!$A77</f>
        <v>T-0106</v>
      </c>
      <c r="F77" t="str">
        <f>IFERROR(INDEX(C項目!$E:$E,MATCH(アイテムビューア!$E77,C項目!$D:$D,0)),"")</f>
        <v/>
      </c>
      <c r="G77" t="str">
        <f>アイテム項目!$E77</f>
        <v>I-00076</v>
      </c>
      <c r="H77" t="str">
        <f>アイテム項目!$F77</f>
        <v>半透明仕切りケース</v>
      </c>
      <c r="I77" t="str">
        <f>アイテム項目!$G77</f>
        <v>収納</v>
      </c>
      <c r="J77" t="str">
        <f>アイテム項目!$H77</f>
        <v>B</v>
      </c>
      <c r="K77">
        <f>アイテム項目!$I77</f>
        <v>0</v>
      </c>
    </row>
    <row r="78" spans="1:11">
      <c r="A78" t="str">
        <f>IFERROR(INDEX(T項目!$A:$A,MATCH(アイテムビューア!$C78,T項目!$D:$D,0)),"")</f>
        <v/>
      </c>
      <c r="B78" t="str">
        <f>IFERROR(INDEX(S項目!$B:$B,MATCH(アイテムビューア!$A78,S項目!$A:$A,0)),"")</f>
        <v/>
      </c>
      <c r="C78" t="str">
        <f>IFERROR(INDEX(C項目!$A:$A,MATCH(アイテムビューア!$E78,C項目!$D:$D,0)),"")</f>
        <v/>
      </c>
      <c r="D78" t="str">
        <f>IFERROR(INDEX(T項目!$E:$E,MATCH(アイテムビューア!$C78,T項目!$D:$D,0)),"")</f>
        <v/>
      </c>
      <c r="E78" t="str">
        <f>アイテム項目!$A78</f>
        <v>T-0106</v>
      </c>
      <c r="F78" t="str">
        <f>IFERROR(INDEX(C項目!$E:$E,MATCH(アイテムビューア!$E78,C項目!$D:$D,0)),"")</f>
        <v/>
      </c>
      <c r="G78" t="str">
        <f>アイテム項目!$E78</f>
        <v>I-00077</v>
      </c>
      <c r="H78" t="str">
        <f>アイテム項目!$F78</f>
        <v>彫刻刀セット</v>
      </c>
      <c r="I78" t="str">
        <f>アイテム項目!$G78</f>
        <v>工具</v>
      </c>
      <c r="J78" t="str">
        <f>アイテム項目!$H78</f>
        <v>B</v>
      </c>
      <c r="K78">
        <f>アイテム項目!$I78</f>
        <v>0</v>
      </c>
    </row>
    <row r="79" spans="1:11">
      <c r="A79" t="str">
        <f>IFERROR(INDEX(T項目!$A:$A,MATCH(アイテムビューア!$C79,T項目!$D:$D,0)),"")</f>
        <v/>
      </c>
      <c r="B79" t="str">
        <f>IFERROR(INDEX(S項目!$B:$B,MATCH(アイテムビューア!$A79,S項目!$A:$A,0)),"")</f>
        <v/>
      </c>
      <c r="C79" t="str">
        <f>IFERROR(INDEX(C項目!$A:$A,MATCH(アイテムビューア!$E79,C項目!$D:$D,0)),"")</f>
        <v/>
      </c>
      <c r="D79" t="str">
        <f>IFERROR(INDEX(T項目!$E:$E,MATCH(アイテムビューア!$C79,T項目!$D:$D,0)),"")</f>
        <v/>
      </c>
      <c r="E79" t="str">
        <f>アイテム項目!$A79</f>
        <v>T-0106</v>
      </c>
      <c r="F79" t="str">
        <f>IFERROR(INDEX(C項目!$E:$E,MATCH(アイテムビューア!$E79,C項目!$D:$D,0)),"")</f>
        <v/>
      </c>
      <c r="G79" t="str">
        <f>アイテム項目!$E79</f>
        <v>I-00078</v>
      </c>
      <c r="H79" t="str">
        <f>アイテム項目!$F79</f>
        <v>乾電池</v>
      </c>
      <c r="I79" t="str">
        <f>アイテム項目!$G79</f>
        <v>電材</v>
      </c>
      <c r="J79" t="str">
        <f>アイテム項目!$H79</f>
        <v>B</v>
      </c>
      <c r="K79">
        <f>アイテム項目!$I79</f>
        <v>0</v>
      </c>
    </row>
    <row r="80" spans="1:11">
      <c r="A80" t="str">
        <f>IFERROR(INDEX(T項目!$A:$A,MATCH(アイテムビューア!$C80,T項目!$D:$D,0)),"")</f>
        <v/>
      </c>
      <c r="B80" t="str">
        <f>IFERROR(INDEX(S項目!$B:$B,MATCH(アイテムビューア!$A80,S項目!$A:$A,0)),"")</f>
        <v/>
      </c>
      <c r="C80" t="str">
        <f>IFERROR(INDEX(C項目!$A:$A,MATCH(アイテムビューア!$E80,C項目!$D:$D,0)),"")</f>
        <v/>
      </c>
      <c r="D80" t="str">
        <f>IFERROR(INDEX(T項目!$E:$E,MATCH(アイテムビューア!$C80,T項目!$D:$D,0)),"")</f>
        <v/>
      </c>
      <c r="E80" t="str">
        <f>アイテム項目!$A80</f>
        <v>T-0106</v>
      </c>
      <c r="F80" t="str">
        <f>IFERROR(INDEX(C項目!$E:$E,MATCH(アイテムビューア!$E80,C項目!$D:$D,0)),"")</f>
        <v/>
      </c>
      <c r="G80" t="str">
        <f>アイテム項目!$E80</f>
        <v>I-00079</v>
      </c>
      <c r="H80" t="str">
        <f>アイテム項目!$F80</f>
        <v>強粘着ふせん（黄色）</v>
      </c>
      <c r="I80" t="str">
        <f>アイテム項目!$G80</f>
        <v>文房具</v>
      </c>
      <c r="J80" t="str">
        <f>アイテム項目!$H80</f>
        <v>B</v>
      </c>
      <c r="K80">
        <f>アイテム項目!$I80</f>
        <v>0</v>
      </c>
    </row>
    <row r="81" spans="1:11">
      <c r="A81" t="str">
        <f>IFERROR(INDEX(T項目!$A:$A,MATCH(アイテムビューア!$C81,T項目!$D:$D,0)),"")</f>
        <v/>
      </c>
      <c r="B81" t="str">
        <f>IFERROR(INDEX(S項目!$B:$B,MATCH(アイテムビューア!$A81,S項目!$A:$A,0)),"")</f>
        <v/>
      </c>
      <c r="C81" t="str">
        <f>IFERROR(INDEX(C項目!$A:$A,MATCH(アイテムビューア!$E81,C項目!$D:$D,0)),"")</f>
        <v/>
      </c>
      <c r="D81" t="str">
        <f>IFERROR(INDEX(T項目!$E:$E,MATCH(アイテムビューア!$C81,T項目!$D:$D,0)),"")</f>
        <v/>
      </c>
      <c r="E81" t="str">
        <f>アイテム項目!$A81</f>
        <v>T-0106</v>
      </c>
      <c r="F81" t="str">
        <f>IFERROR(INDEX(C項目!$E:$E,MATCH(アイテムビューア!$E81,C項目!$D:$D,0)),"")</f>
        <v/>
      </c>
      <c r="G81" t="str">
        <f>アイテム項目!$E81</f>
        <v>I-00080</v>
      </c>
      <c r="H81" t="str">
        <f>アイテム項目!$F81</f>
        <v>NOTE（黒パッケージ）</v>
      </c>
      <c r="I81" t="str">
        <f>アイテム項目!$G81</f>
        <v>文房具</v>
      </c>
      <c r="J81" t="str">
        <f>アイテム項目!$H81</f>
        <v>B</v>
      </c>
      <c r="K81">
        <f>アイテム項目!$I81</f>
        <v>0</v>
      </c>
    </row>
    <row r="82" spans="1:11">
      <c r="A82" t="str">
        <f>IFERROR(INDEX(T項目!$A:$A,MATCH(アイテムビューア!$C82,T項目!$D:$D,0)),"")</f>
        <v/>
      </c>
      <c r="B82" t="str">
        <f>IFERROR(INDEX(S項目!$B:$B,MATCH(アイテムビューア!$A82,S項目!$A:$A,0)),"")</f>
        <v/>
      </c>
      <c r="C82" t="str">
        <f>IFERROR(INDEX(C項目!$A:$A,MATCH(アイテムビューア!$E82,C項目!$D:$D,0)),"")</f>
        <v/>
      </c>
      <c r="D82" t="str">
        <f>IFERROR(INDEX(T項目!$E:$E,MATCH(アイテムビューア!$C82,T項目!$D:$D,0)),"")</f>
        <v/>
      </c>
      <c r="E82" t="str">
        <f>アイテム項目!$A82</f>
        <v>T-0106</v>
      </c>
      <c r="F82" t="str">
        <f>IFERROR(INDEX(C項目!$E:$E,MATCH(アイテムビューア!$E82,C項目!$D:$D,0)),"")</f>
        <v/>
      </c>
      <c r="G82" t="str">
        <f>アイテム項目!$E82</f>
        <v>I-00081</v>
      </c>
      <c r="H82" t="str">
        <f>アイテム項目!$F82</f>
        <v>ベージュ長方形マット</v>
      </c>
      <c r="I82" t="str">
        <f>アイテム項目!$G82</f>
        <v>不明</v>
      </c>
      <c r="J82" t="str">
        <f>アイテム項目!$H82</f>
        <v>B</v>
      </c>
      <c r="K82">
        <f>アイテム項目!$I82</f>
        <v>0</v>
      </c>
    </row>
    <row r="83" spans="1:11">
      <c r="A83" t="str">
        <f>IFERROR(INDEX(T項目!$A:$A,MATCH(アイテムビューア!$C83,T項目!$D:$D,0)),"")</f>
        <v/>
      </c>
      <c r="B83" t="str">
        <f>IFERROR(INDEX(S項目!$B:$B,MATCH(アイテムビューア!$A83,S項目!$A:$A,0)),"")</f>
        <v/>
      </c>
      <c r="C83" t="str">
        <f>IFERROR(INDEX(C項目!$A:$A,MATCH(アイテムビューア!$E83,C項目!$D:$D,0)),"")</f>
        <v/>
      </c>
      <c r="D83" t="str">
        <f>IFERROR(INDEX(T項目!$E:$E,MATCH(アイテムビューア!$C83,T項目!$D:$D,0)),"")</f>
        <v/>
      </c>
      <c r="E83" t="str">
        <f>アイテム項目!$A83</f>
        <v>T-0106</v>
      </c>
      <c r="F83" t="str">
        <f>IFERROR(INDEX(C項目!$E:$E,MATCH(アイテムビューア!$E83,C項目!$D:$D,0)),"")</f>
        <v/>
      </c>
      <c r="G83" t="str">
        <f>アイテム項目!$E83</f>
        <v>I-00082</v>
      </c>
      <c r="H83" t="str">
        <f>アイテム項目!$F83</f>
        <v>半透明ケース内パーツ</v>
      </c>
      <c r="I83" t="str">
        <f>アイテム項目!$G83</f>
        <v>不明</v>
      </c>
      <c r="J83" t="str">
        <f>アイテム項目!$H83</f>
        <v>B</v>
      </c>
      <c r="K83">
        <f>アイテム項目!$I83</f>
        <v>0</v>
      </c>
    </row>
    <row r="84" spans="1:11">
      <c r="A84" t="str">
        <f>IFERROR(INDEX(T項目!$A:$A,MATCH(アイテムビューア!$C84,T項目!$D:$D,0)),"")</f>
        <v>S-001</v>
      </c>
      <c r="B84" t="str">
        <f>IFERROR(INDEX(S項目!$B:$B,MATCH(アイテムビューア!$A84,S項目!$A:$A,0)),"")</f>
        <v>玄関棚</v>
      </c>
      <c r="C84" t="str">
        <f>IFERROR(INDEX(C項目!$A:$A,MATCH(アイテムビューア!$E84,C項目!$D:$D,0)),"")</f>
        <v>T-0109</v>
      </c>
      <c r="D84" t="str">
        <f>IFERROR(INDEX(T項目!$E:$E,MATCH(アイテムビューア!$C84,T項目!$D:$D,0)),"")</f>
        <v>下段三段目</v>
      </c>
      <c r="E84" t="str">
        <f>アイテム項目!$A84</f>
        <v>C-010901</v>
      </c>
      <c r="F84" t="str">
        <f>IFERROR(INDEX(C項目!$E:$E,MATCH(アイテムビューア!$E84,C項目!$D:$D,0)),"")</f>
        <v>水色大型BOX</v>
      </c>
      <c r="G84" t="str">
        <f>アイテム項目!$E84</f>
        <v>I-00083</v>
      </c>
      <c r="H84" t="str">
        <f>アイテム項目!$F84</f>
        <v>DOGYUバール</v>
      </c>
      <c r="I84" t="str">
        <f>アイテム項目!$G84</f>
        <v>工具</v>
      </c>
      <c r="J84" t="str">
        <f>アイテム項目!$H84</f>
        <v>B</v>
      </c>
      <c r="K84">
        <f>アイテム項目!$I84</f>
        <v>0</v>
      </c>
    </row>
    <row r="85" spans="1:11">
      <c r="A85" t="str">
        <f>IFERROR(INDEX(T項目!$A:$A,MATCH(アイテムビューア!$C85,T項目!$D:$D,0)),"")</f>
        <v>S-001</v>
      </c>
      <c r="B85" t="str">
        <f>IFERROR(INDEX(S項目!$B:$B,MATCH(アイテムビューア!$A85,S項目!$A:$A,0)),"")</f>
        <v>玄関棚</v>
      </c>
      <c r="C85" t="str">
        <f>IFERROR(INDEX(C項目!$A:$A,MATCH(アイテムビューア!$E85,C項目!$D:$D,0)),"")</f>
        <v>T-0109</v>
      </c>
      <c r="D85" t="str">
        <f>IFERROR(INDEX(T項目!$E:$E,MATCH(アイテムビューア!$C85,T項目!$D:$D,0)),"")</f>
        <v>下段三段目</v>
      </c>
      <c r="E85" t="str">
        <f>アイテム項目!$A85</f>
        <v>C-010901</v>
      </c>
      <c r="F85" t="str">
        <f>IFERROR(INDEX(C項目!$E:$E,MATCH(アイテムビューア!$E85,C項目!$D:$D,0)),"")</f>
        <v>水色大型BOX</v>
      </c>
      <c r="G85" t="str">
        <f>アイテム項目!$E85</f>
        <v>I-00084</v>
      </c>
      <c r="H85" t="str">
        <f>アイテム項目!$F85</f>
        <v>木製カンナ</v>
      </c>
      <c r="I85" t="str">
        <f>アイテム項目!$G85</f>
        <v>工具</v>
      </c>
      <c r="J85" t="str">
        <f>アイテム項目!$H85</f>
        <v>B</v>
      </c>
      <c r="K85">
        <f>アイテム項目!$I85</f>
        <v>0</v>
      </c>
    </row>
    <row r="86" spans="1:11">
      <c r="A86" t="str">
        <f>IFERROR(INDEX(T項目!$A:$A,MATCH(アイテムビューア!$C86,T項目!$D:$D,0)),"")</f>
        <v>S-001</v>
      </c>
      <c r="B86" t="str">
        <f>IFERROR(INDEX(S項目!$B:$B,MATCH(アイテムビューア!$A86,S項目!$A:$A,0)),"")</f>
        <v>玄関棚</v>
      </c>
      <c r="C86" t="str">
        <f>IFERROR(INDEX(C項目!$A:$A,MATCH(アイテムビューア!$E86,C項目!$D:$D,0)),"")</f>
        <v>T-0109</v>
      </c>
      <c r="D86" t="str">
        <f>IFERROR(INDEX(T項目!$E:$E,MATCH(アイテムビューア!$C86,T項目!$D:$D,0)),"")</f>
        <v>下段三段目</v>
      </c>
      <c r="E86" t="str">
        <f>アイテム項目!$A86</f>
        <v>C-010901</v>
      </c>
      <c r="F86" t="str">
        <f>IFERROR(INDEX(C項目!$E:$E,MATCH(アイテムビューア!$E86,C項目!$D:$D,0)),"")</f>
        <v>水色大型BOX</v>
      </c>
      <c r="G86" t="str">
        <f>アイテム項目!$E86</f>
        <v>I-00085</v>
      </c>
      <c r="H86" t="str">
        <f>アイテム項目!$F86</f>
        <v>折込鋸150</v>
      </c>
      <c r="I86" t="str">
        <f>アイテム項目!$G86</f>
        <v>工具</v>
      </c>
      <c r="J86" t="str">
        <f>アイテム項目!$H86</f>
        <v>B</v>
      </c>
      <c r="K86">
        <f>アイテム項目!$I86</f>
        <v>0</v>
      </c>
    </row>
    <row r="87" spans="1:11">
      <c r="A87" t="str">
        <f>IFERROR(INDEX(T項目!$A:$A,MATCH(アイテムビューア!$C87,T項目!$D:$D,0)),"")</f>
        <v>S-001</v>
      </c>
      <c r="B87" t="str">
        <f>IFERROR(INDEX(S項目!$B:$B,MATCH(アイテムビューア!$A87,S項目!$A:$A,0)),"")</f>
        <v>玄関棚</v>
      </c>
      <c r="C87" t="str">
        <f>IFERROR(INDEX(C項目!$A:$A,MATCH(アイテムビューア!$E87,C項目!$D:$D,0)),"")</f>
        <v>T-0109</v>
      </c>
      <c r="D87" t="str">
        <f>IFERROR(INDEX(T項目!$E:$E,MATCH(アイテムビューア!$C87,T項目!$D:$D,0)),"")</f>
        <v>下段三段目</v>
      </c>
      <c r="E87" t="str">
        <f>アイテム項目!$A87</f>
        <v>C-010901</v>
      </c>
      <c r="F87" t="str">
        <f>IFERROR(INDEX(C項目!$E:$E,MATCH(アイテムビューア!$E87,C項目!$D:$D,0)),"")</f>
        <v>水色大型BOX</v>
      </c>
      <c r="G87" t="str">
        <f>アイテム項目!$E87</f>
        <v>I-00086</v>
      </c>
      <c r="H87" t="str">
        <f>アイテム項目!$F87</f>
        <v>カナヅチ</v>
      </c>
      <c r="I87" t="str">
        <f>アイテム項目!$G87</f>
        <v>工具</v>
      </c>
      <c r="J87" t="str">
        <f>アイテム項目!$H87</f>
        <v>B</v>
      </c>
      <c r="K87">
        <f>アイテム項目!$I87</f>
        <v>0</v>
      </c>
    </row>
    <row r="88" spans="1:11">
      <c r="A88" t="str">
        <f>IFERROR(INDEX(T項目!$A:$A,MATCH(アイテムビューア!$C88,T項目!$D:$D,0)),"")</f>
        <v>S-001</v>
      </c>
      <c r="B88" t="str">
        <f>IFERROR(INDEX(S項目!$B:$B,MATCH(アイテムビューア!$A88,S項目!$A:$A,0)),"")</f>
        <v>玄関棚</v>
      </c>
      <c r="C88" t="str">
        <f>IFERROR(INDEX(C項目!$A:$A,MATCH(アイテムビューア!$E88,C項目!$D:$D,0)),"")</f>
        <v>T-0109</v>
      </c>
      <c r="D88" t="str">
        <f>IFERROR(INDEX(T項目!$E:$E,MATCH(アイテムビューア!$C88,T項目!$D:$D,0)),"")</f>
        <v>下段三段目</v>
      </c>
      <c r="E88" t="str">
        <f>アイテム項目!$A88</f>
        <v>C-010901</v>
      </c>
      <c r="F88" t="str">
        <f>IFERROR(INDEX(C項目!$E:$E,MATCH(アイテムビューア!$E88,C項目!$D:$D,0)),"")</f>
        <v>水色大型BOX</v>
      </c>
      <c r="G88" t="str">
        <f>アイテム項目!$E88</f>
        <v>I-00087</v>
      </c>
      <c r="H88" t="str">
        <f>アイテム項目!$F88</f>
        <v>ラバーグリップハンマー</v>
      </c>
      <c r="I88" t="str">
        <f>アイテム項目!$G88</f>
        <v>工具</v>
      </c>
      <c r="J88" t="str">
        <f>アイテム項目!$H88</f>
        <v>B</v>
      </c>
      <c r="K88">
        <f>アイテム項目!$I88</f>
        <v>0</v>
      </c>
    </row>
    <row r="89" spans="1:11">
      <c r="A89" t="str">
        <f>IFERROR(INDEX(T項目!$A:$A,MATCH(アイテムビューア!$C89,T項目!$D:$D,0)),"")</f>
        <v>S-001</v>
      </c>
      <c r="B89" t="str">
        <f>IFERROR(INDEX(S項目!$B:$B,MATCH(アイテムビューア!$A89,S項目!$A:$A,0)),"")</f>
        <v>玄関棚</v>
      </c>
      <c r="C89" t="str">
        <f>IFERROR(INDEX(C項目!$A:$A,MATCH(アイテムビューア!$E89,C項目!$D:$D,0)),"")</f>
        <v>T-0109</v>
      </c>
      <c r="D89" t="str">
        <f>IFERROR(INDEX(T項目!$E:$E,MATCH(アイテムビューア!$C89,T項目!$D:$D,0)),"")</f>
        <v>下段三段目</v>
      </c>
      <c r="E89" t="str">
        <f>アイテム項目!$A89</f>
        <v>C-010901</v>
      </c>
      <c r="F89" t="str">
        <f>IFERROR(INDEX(C項目!$E:$E,MATCH(アイテムビューア!$E89,C項目!$D:$D,0)),"")</f>
        <v>水色大型BOX</v>
      </c>
      <c r="G89" t="str">
        <f>アイテム項目!$E89</f>
        <v>I-00088</v>
      </c>
      <c r="H89" t="str">
        <f>アイテム項目!$F89</f>
        <v>金属ヘラ状工具</v>
      </c>
      <c r="I89" t="str">
        <f>アイテム項目!$G89</f>
        <v>工具</v>
      </c>
      <c r="J89" t="str">
        <f>アイテム項目!$H89</f>
        <v>B</v>
      </c>
      <c r="K89">
        <f>アイテム項目!$I89</f>
        <v>0</v>
      </c>
    </row>
    <row r="90" spans="1:11">
      <c r="A90" t="str">
        <f>IFERROR(INDEX(T項目!$A:$A,MATCH(アイテムビューア!$C90,T項目!$D:$D,0)),"")</f>
        <v>S-001</v>
      </c>
      <c r="B90" t="str">
        <f>IFERROR(INDEX(S項目!$B:$B,MATCH(アイテムビューア!$A90,S項目!$A:$A,0)),"")</f>
        <v>玄関棚</v>
      </c>
      <c r="C90" t="str">
        <f>IFERROR(INDEX(C項目!$A:$A,MATCH(アイテムビューア!$E90,C項目!$D:$D,0)),"")</f>
        <v>T-0109</v>
      </c>
      <c r="D90" t="str">
        <f>IFERROR(INDEX(T項目!$E:$E,MATCH(アイテムビューア!$C90,T項目!$D:$D,0)),"")</f>
        <v>下段三段目</v>
      </c>
      <c r="E90" t="str">
        <f>アイテム項目!$A90</f>
        <v>C-010901</v>
      </c>
      <c r="F90" t="str">
        <f>IFERROR(INDEX(C項目!$E:$E,MATCH(アイテムビューア!$E90,C項目!$D:$D,0)),"")</f>
        <v>水色大型BOX</v>
      </c>
      <c r="G90" t="str">
        <f>アイテム項目!$E90</f>
        <v>I-00089</v>
      </c>
      <c r="H90" t="str">
        <f>アイテム項目!$F90</f>
        <v>与板利器工業工具</v>
      </c>
      <c r="I90" t="str">
        <f>アイテム項目!$G90</f>
        <v>工具</v>
      </c>
      <c r="J90" t="str">
        <f>アイテム項目!$H90</f>
        <v>B</v>
      </c>
      <c r="K90">
        <f>アイテム項目!$I90</f>
        <v>0</v>
      </c>
    </row>
    <row r="91" spans="1:11">
      <c r="A91" t="str">
        <f>IFERROR(INDEX(T項目!$A:$A,MATCH(アイテムビューア!$C91,T項目!$D:$D,0)),"")</f>
        <v>S-001</v>
      </c>
      <c r="B91" t="str">
        <f>IFERROR(INDEX(S項目!$B:$B,MATCH(アイテムビューア!$A91,S項目!$A:$A,0)),"")</f>
        <v>玄関棚</v>
      </c>
      <c r="C91" t="str">
        <f>IFERROR(INDEX(C項目!$A:$A,MATCH(アイテムビューア!$E91,C項目!$D:$D,0)),"")</f>
        <v>T-0109</v>
      </c>
      <c r="D91" t="str">
        <f>IFERROR(INDEX(T項目!$E:$E,MATCH(アイテムビューア!$C91,T項目!$D:$D,0)),"")</f>
        <v>下段三段目</v>
      </c>
      <c r="E91" t="str">
        <f>アイテム項目!$A91</f>
        <v>C-010901</v>
      </c>
      <c r="F91" t="str">
        <f>IFERROR(INDEX(C項目!$E:$E,MATCH(アイテムビューア!$E91,C項目!$D:$D,0)),"")</f>
        <v>水色大型BOX</v>
      </c>
      <c r="G91" t="str">
        <f>アイテム項目!$E91</f>
        <v>I-00090</v>
      </c>
      <c r="H91" t="str">
        <f>アイテム項目!$F91</f>
        <v>木製柄付き工具</v>
      </c>
      <c r="I91" t="str">
        <f>アイテム項目!$G91</f>
        <v>工具</v>
      </c>
      <c r="J91" t="str">
        <f>アイテム項目!$H91</f>
        <v>B</v>
      </c>
      <c r="K91">
        <f>アイテム項目!$I91</f>
        <v>0</v>
      </c>
    </row>
    <row r="92" spans="1:11">
      <c r="A92" t="str">
        <f>IFERROR(INDEX(T項目!$A:$A,MATCH(アイテムビューア!$C92,T項目!$D:$D,0)),"")</f>
        <v/>
      </c>
      <c r="B92" t="str">
        <f>IFERROR(INDEX(S項目!$B:$B,MATCH(アイテムビューア!$A92,S項目!$A:$A,0)),"")</f>
        <v/>
      </c>
      <c r="C92" t="str">
        <f>IFERROR(INDEX(C項目!$A:$A,MATCH(アイテムビューア!$E92,C項目!$D:$D,0)),"")</f>
        <v/>
      </c>
      <c r="D92" t="str">
        <f>IFERROR(INDEX(T項目!$E:$E,MATCH(アイテムビューア!$C92,T項目!$D:$D,0)),"")</f>
        <v/>
      </c>
      <c r="E92">
        <f>アイテム項目!$A92</f>
        <v>0</v>
      </c>
      <c r="F92" t="str">
        <f>IFERROR(INDEX(C項目!$E:$E,MATCH(アイテムビューア!$E92,C項目!$D:$D,0)),"")</f>
        <v/>
      </c>
      <c r="G92">
        <f>アイテム項目!$E92</f>
        <v>0</v>
      </c>
      <c r="H92">
        <f>アイテム項目!$F92</f>
        <v>0</v>
      </c>
      <c r="I92">
        <f>アイテム項目!$G92</f>
        <v>0</v>
      </c>
      <c r="J92">
        <f>アイテム項目!$H92</f>
        <v>0</v>
      </c>
      <c r="K92">
        <f>アイテム項目!$I92</f>
        <v>0</v>
      </c>
    </row>
    <row r="93" spans="1:11">
      <c r="A93" t="str">
        <f>IFERROR(INDEX(T項目!$A:$A,MATCH(アイテムビューア!$C93,T項目!$D:$D,0)),"")</f>
        <v/>
      </c>
      <c r="B93" t="str">
        <f>IFERROR(INDEX(S項目!$B:$B,MATCH(アイテムビューア!$A93,S項目!$A:$A,0)),"")</f>
        <v/>
      </c>
      <c r="C93" t="str">
        <f>IFERROR(INDEX(C項目!$A:$A,MATCH(アイテムビューア!$E93,C項目!$D:$D,0)),"")</f>
        <v/>
      </c>
      <c r="D93" t="str">
        <f>IFERROR(INDEX(T項目!$E:$E,MATCH(アイテムビューア!$C93,T項目!$D:$D,0)),"")</f>
        <v/>
      </c>
      <c r="E93">
        <f>アイテム項目!$A93</f>
        <v>0</v>
      </c>
      <c r="F93" t="str">
        <f>IFERROR(INDEX(C項目!$E:$E,MATCH(アイテムビューア!$E93,C項目!$D:$D,0)),"")</f>
        <v/>
      </c>
      <c r="G93">
        <f>アイテム項目!$E93</f>
        <v>0</v>
      </c>
      <c r="H93">
        <f>アイテム項目!$F93</f>
        <v>0</v>
      </c>
      <c r="I93">
        <f>アイテム項目!$G93</f>
        <v>0</v>
      </c>
      <c r="J93">
        <f>アイテム項目!$H93</f>
        <v>0</v>
      </c>
      <c r="K93">
        <f>アイテム項目!$I93</f>
        <v>0</v>
      </c>
    </row>
    <row r="94" spans="1:11">
      <c r="A94" t="str">
        <f>IFERROR(INDEX(T項目!$A:$A,MATCH(アイテムビューア!$C94,T項目!$D:$D,0)),"")</f>
        <v/>
      </c>
      <c r="B94" t="str">
        <f>IFERROR(INDEX(S項目!$B:$B,MATCH(アイテムビューア!$A94,S項目!$A:$A,0)),"")</f>
        <v/>
      </c>
      <c r="C94" t="str">
        <f>IFERROR(INDEX(C項目!$A:$A,MATCH(アイテムビューア!$E94,C項目!$D:$D,0)),"")</f>
        <v/>
      </c>
      <c r="D94" t="str">
        <f>IFERROR(INDEX(T項目!$E:$E,MATCH(アイテムビューア!$C94,T項目!$D:$D,0)),"")</f>
        <v/>
      </c>
      <c r="E94">
        <f>アイテム項目!$A94</f>
        <v>0</v>
      </c>
      <c r="F94" t="str">
        <f>IFERROR(INDEX(C項目!$E:$E,MATCH(アイテムビューア!$E94,C項目!$D:$D,0)),"")</f>
        <v/>
      </c>
      <c r="G94">
        <f>アイテム項目!$E94</f>
        <v>0</v>
      </c>
      <c r="H94">
        <f>アイテム項目!$F94</f>
        <v>0</v>
      </c>
      <c r="I94">
        <f>アイテム項目!$G94</f>
        <v>0</v>
      </c>
      <c r="J94">
        <f>アイテム項目!$H94</f>
        <v>0</v>
      </c>
      <c r="K94">
        <f>アイテム項目!$I94</f>
        <v>0</v>
      </c>
    </row>
    <row r="95" spans="1:11">
      <c r="A95" t="str">
        <f>IFERROR(INDEX(T項目!$A:$A,MATCH(アイテムビューア!$C95,T項目!$D:$D,0)),"")</f>
        <v/>
      </c>
      <c r="B95" t="str">
        <f>IFERROR(INDEX(S項目!$B:$B,MATCH(アイテムビューア!$A95,S項目!$A:$A,0)),"")</f>
        <v/>
      </c>
      <c r="C95" t="str">
        <f>IFERROR(INDEX(C項目!$A:$A,MATCH(アイテムビューア!$E95,C項目!$D:$D,0)),"")</f>
        <v/>
      </c>
      <c r="D95" t="str">
        <f>IFERROR(INDEX(T項目!$E:$E,MATCH(アイテムビューア!$C95,T項目!$D:$D,0)),"")</f>
        <v/>
      </c>
      <c r="E95">
        <f>アイテム項目!$A95</f>
        <v>0</v>
      </c>
      <c r="F95" t="str">
        <f>IFERROR(INDEX(C項目!$E:$E,MATCH(アイテムビューア!$E95,C項目!$D:$D,0)),"")</f>
        <v/>
      </c>
      <c r="G95">
        <f>アイテム項目!$E95</f>
        <v>0</v>
      </c>
      <c r="H95">
        <f>アイテム項目!$F95</f>
        <v>0</v>
      </c>
      <c r="I95">
        <f>アイテム項目!$G95</f>
        <v>0</v>
      </c>
      <c r="J95">
        <f>アイテム項目!$H95</f>
        <v>0</v>
      </c>
      <c r="K95">
        <f>アイテム項目!$I95</f>
        <v>0</v>
      </c>
    </row>
    <row r="96" spans="1:11">
      <c r="A96" t="str">
        <f>IFERROR(INDEX(T項目!$A:$A,MATCH(アイテムビューア!$C96,T項目!$D:$D,0)),"")</f>
        <v/>
      </c>
      <c r="B96" t="str">
        <f>IFERROR(INDEX(S項目!$B:$B,MATCH(アイテムビューア!$A96,S項目!$A:$A,0)),"")</f>
        <v/>
      </c>
      <c r="C96" t="str">
        <f>IFERROR(INDEX(C項目!$A:$A,MATCH(アイテムビューア!$E96,C項目!$D:$D,0)),"")</f>
        <v/>
      </c>
      <c r="D96" t="str">
        <f>IFERROR(INDEX(T項目!$E:$E,MATCH(アイテムビューア!$C96,T項目!$D:$D,0)),"")</f>
        <v/>
      </c>
      <c r="E96">
        <f>アイテム項目!$A96</f>
        <v>0</v>
      </c>
      <c r="F96" t="str">
        <f>IFERROR(INDEX(C項目!$E:$E,MATCH(アイテムビューア!$E96,C項目!$D:$D,0)),"")</f>
        <v/>
      </c>
      <c r="G96">
        <f>アイテム項目!$E96</f>
        <v>0</v>
      </c>
      <c r="H96">
        <f>アイテム項目!$F96</f>
        <v>0</v>
      </c>
      <c r="I96">
        <f>アイテム項目!$G96</f>
        <v>0</v>
      </c>
      <c r="J96">
        <f>アイテム項目!$H96</f>
        <v>0</v>
      </c>
      <c r="K96">
        <f>アイテム項目!$I96</f>
        <v>0</v>
      </c>
    </row>
    <row r="97" spans="1:11">
      <c r="A97" t="str">
        <f>IFERROR(INDEX(T項目!$A:$A,MATCH(アイテムビューア!$C97,T項目!$D:$D,0)),"")</f>
        <v/>
      </c>
      <c r="B97" t="str">
        <f>IFERROR(INDEX(S項目!$B:$B,MATCH(アイテムビューア!$A97,S項目!$A:$A,0)),"")</f>
        <v/>
      </c>
      <c r="C97" t="str">
        <f>IFERROR(INDEX(C項目!$A:$A,MATCH(アイテムビューア!$E97,C項目!$D:$D,0)),"")</f>
        <v/>
      </c>
      <c r="D97" t="str">
        <f>IFERROR(INDEX(T項目!$E:$E,MATCH(アイテムビューア!$C97,T項目!$D:$D,0)),"")</f>
        <v/>
      </c>
      <c r="E97">
        <f>アイテム項目!$A97</f>
        <v>0</v>
      </c>
      <c r="F97" t="str">
        <f>IFERROR(INDEX(C項目!$E:$E,MATCH(アイテムビューア!$E97,C項目!$D:$D,0)),"")</f>
        <v/>
      </c>
      <c r="G97">
        <f>アイテム項目!$E97</f>
        <v>0</v>
      </c>
      <c r="H97">
        <f>アイテム項目!$F97</f>
        <v>0</v>
      </c>
      <c r="I97">
        <f>アイテム項目!$G97</f>
        <v>0</v>
      </c>
      <c r="J97">
        <f>アイテム項目!$H97</f>
        <v>0</v>
      </c>
      <c r="K97">
        <f>アイテム項目!$I97</f>
        <v>0</v>
      </c>
    </row>
    <row r="98" spans="1:11">
      <c r="A98" t="str">
        <f>IFERROR(INDEX(T項目!$A:$A,MATCH(アイテムビューア!$C98,T項目!$D:$D,0)),"")</f>
        <v/>
      </c>
      <c r="B98" t="str">
        <f>IFERROR(INDEX(S項目!$B:$B,MATCH(アイテムビューア!$A98,S項目!$A:$A,0)),"")</f>
        <v/>
      </c>
      <c r="C98" t="str">
        <f>IFERROR(INDEX(C項目!$A:$A,MATCH(アイテムビューア!$E98,C項目!$D:$D,0)),"")</f>
        <v/>
      </c>
      <c r="D98" t="str">
        <f>IFERROR(INDEX(T項目!$E:$E,MATCH(アイテムビューア!$C98,T項目!$D:$D,0)),"")</f>
        <v/>
      </c>
      <c r="E98">
        <f>アイテム項目!$A98</f>
        <v>0</v>
      </c>
      <c r="F98" t="str">
        <f>IFERROR(INDEX(C項目!$E:$E,MATCH(アイテムビューア!$E98,C項目!$D:$D,0)),"")</f>
        <v/>
      </c>
      <c r="G98">
        <f>アイテム項目!$E98</f>
        <v>0</v>
      </c>
      <c r="H98">
        <f>アイテム項目!$F98</f>
        <v>0</v>
      </c>
      <c r="I98">
        <f>アイテム項目!$G98</f>
        <v>0</v>
      </c>
      <c r="J98">
        <f>アイテム項目!$H98</f>
        <v>0</v>
      </c>
      <c r="K98">
        <f>アイテム項目!$I98</f>
        <v>0</v>
      </c>
    </row>
    <row r="99" spans="1:11">
      <c r="A99" t="str">
        <f>IFERROR(INDEX(T項目!$A:$A,MATCH(アイテムビューア!$C99,T項目!$D:$D,0)),"")</f>
        <v/>
      </c>
      <c r="B99" t="str">
        <f>IFERROR(INDEX(S項目!$B:$B,MATCH(アイテムビューア!$A99,S項目!$A:$A,0)),"")</f>
        <v/>
      </c>
      <c r="C99" t="str">
        <f>IFERROR(INDEX(C項目!$A:$A,MATCH(アイテムビューア!$E99,C項目!$D:$D,0)),"")</f>
        <v/>
      </c>
      <c r="D99" t="str">
        <f>IFERROR(INDEX(T項目!$E:$E,MATCH(アイテムビューア!$C99,T項目!$D:$D,0)),"")</f>
        <v/>
      </c>
      <c r="E99">
        <f>アイテム項目!$A99</f>
        <v>0</v>
      </c>
      <c r="F99" t="str">
        <f>IFERROR(INDEX(C項目!$E:$E,MATCH(アイテムビューア!$E99,C項目!$D:$D,0)),"")</f>
        <v/>
      </c>
      <c r="G99">
        <f>アイテム項目!$E99</f>
        <v>0</v>
      </c>
      <c r="H99">
        <f>アイテム項目!$F99</f>
        <v>0</v>
      </c>
      <c r="I99">
        <f>アイテム項目!$G99</f>
        <v>0</v>
      </c>
      <c r="J99">
        <f>アイテム項目!$H99</f>
        <v>0</v>
      </c>
      <c r="K99">
        <f>アイテム項目!$I99</f>
        <v>0</v>
      </c>
    </row>
    <row r="100" spans="1:11">
      <c r="A100" t="str">
        <f>IFERROR(INDEX(T項目!$A:$A,MATCH(アイテムビューア!$C100,T項目!$D:$D,0)),"")</f>
        <v/>
      </c>
      <c r="B100" t="str">
        <f>IFERROR(INDEX(S項目!$B:$B,MATCH(アイテムビューア!$A100,S項目!$A:$A,0)),"")</f>
        <v/>
      </c>
      <c r="C100" t="str">
        <f>IFERROR(INDEX(C項目!$A:$A,MATCH(アイテムビューア!$E100,C項目!$D:$D,0)),"")</f>
        <v/>
      </c>
      <c r="D100" t="str">
        <f>IFERROR(INDEX(T項目!$E:$E,MATCH(アイテムビューア!$C100,T項目!$D:$D,0)),"")</f>
        <v/>
      </c>
      <c r="E100">
        <f>アイテム項目!$A100</f>
        <v>0</v>
      </c>
      <c r="F100" t="str">
        <f>IFERROR(INDEX(C項目!$E:$E,MATCH(アイテムビューア!$E100,C項目!$D:$D,0)),"")</f>
        <v/>
      </c>
      <c r="G100">
        <f>アイテム項目!$E100</f>
        <v>0</v>
      </c>
      <c r="H100">
        <f>アイテム項目!$F100</f>
        <v>0</v>
      </c>
      <c r="I100">
        <f>アイテム項目!$G100</f>
        <v>0</v>
      </c>
      <c r="J100">
        <f>アイテム項目!$H100</f>
        <v>0</v>
      </c>
      <c r="K100">
        <f>アイテム項目!$I100</f>
        <v>0</v>
      </c>
    </row>
    <row r="101" spans="1:11">
      <c r="A101" t="str">
        <f>IFERROR(INDEX(T項目!$A:$A,MATCH(アイテムビューア!$C101,T項目!$D:$D,0)),"")</f>
        <v/>
      </c>
      <c r="B101" t="str">
        <f>IFERROR(INDEX(S項目!$B:$B,MATCH(アイテムビューア!$A101,S項目!$A:$A,0)),"")</f>
        <v/>
      </c>
      <c r="C101" t="str">
        <f>IFERROR(INDEX(C項目!$A:$A,MATCH(アイテムビューア!$E101,C項目!$D:$D,0)),"")</f>
        <v/>
      </c>
      <c r="D101" t="str">
        <f>IFERROR(INDEX(T項目!$E:$E,MATCH(アイテムビューア!$C101,T項目!$D:$D,0)),"")</f>
        <v/>
      </c>
      <c r="E101">
        <f>アイテム項目!$A101</f>
        <v>0</v>
      </c>
      <c r="F101" t="str">
        <f>IFERROR(INDEX(C項目!$E:$E,MATCH(アイテムビューア!$E101,C項目!$D:$D,0)),"")</f>
        <v/>
      </c>
      <c r="G101">
        <f>アイテム項目!$E101</f>
        <v>0</v>
      </c>
      <c r="H101">
        <f>アイテム項目!$F101</f>
        <v>0</v>
      </c>
      <c r="I101">
        <f>アイテム項目!$G101</f>
        <v>0</v>
      </c>
      <c r="J101">
        <f>アイテム項目!$H101</f>
        <v>0</v>
      </c>
      <c r="K101">
        <f>アイテム項目!$I101</f>
        <v>0</v>
      </c>
    </row>
    <row r="102" spans="1:11">
      <c r="A102" t="str">
        <f>IFERROR(INDEX(T項目!$A:$A,MATCH(アイテムビューア!$C102,T項目!$D:$D,0)),"")</f>
        <v/>
      </c>
      <c r="B102" t="str">
        <f>IFERROR(INDEX(S項目!$B:$B,MATCH(アイテムビューア!$A102,S項目!$A:$A,0)),"")</f>
        <v/>
      </c>
      <c r="C102" t="str">
        <f>IFERROR(INDEX(C項目!$A:$A,MATCH(アイテムビューア!$E102,C項目!$D:$D,0)),"")</f>
        <v/>
      </c>
      <c r="D102" t="str">
        <f>IFERROR(INDEX(T項目!$E:$E,MATCH(アイテムビューア!$C102,T項目!$D:$D,0)),"")</f>
        <v/>
      </c>
      <c r="E102">
        <f>アイテム項目!$A102</f>
        <v>0</v>
      </c>
      <c r="F102" t="str">
        <f>IFERROR(INDEX(C項目!$E:$E,MATCH(アイテムビューア!$E102,C項目!$D:$D,0)),"")</f>
        <v/>
      </c>
      <c r="G102">
        <f>アイテム項目!$E102</f>
        <v>0</v>
      </c>
      <c r="H102">
        <f>アイテム項目!$F102</f>
        <v>0</v>
      </c>
      <c r="I102">
        <f>アイテム項目!$G102</f>
        <v>0</v>
      </c>
      <c r="J102">
        <f>アイテム項目!$H102</f>
        <v>0</v>
      </c>
      <c r="K102">
        <f>アイテム項目!$I102</f>
        <v>0</v>
      </c>
    </row>
    <row r="103" spans="1:11">
      <c r="A103" t="str">
        <f>IFERROR(INDEX(T項目!$A:$A,MATCH(アイテムビューア!$C103,T項目!$D:$D,0)),"")</f>
        <v/>
      </c>
      <c r="B103" t="str">
        <f>IFERROR(INDEX(S項目!$B:$B,MATCH(アイテムビューア!$A103,S項目!$A:$A,0)),"")</f>
        <v/>
      </c>
      <c r="C103" t="str">
        <f>IFERROR(INDEX(C項目!$A:$A,MATCH(アイテムビューア!$E103,C項目!$D:$D,0)),"")</f>
        <v/>
      </c>
      <c r="D103" t="str">
        <f>IFERROR(INDEX(T項目!$E:$E,MATCH(アイテムビューア!$C103,T項目!$D:$D,0)),"")</f>
        <v/>
      </c>
      <c r="E103">
        <f>アイテム項目!$A103</f>
        <v>0</v>
      </c>
      <c r="F103" t="str">
        <f>IFERROR(INDEX(C項目!$E:$E,MATCH(アイテムビューア!$E103,C項目!$D:$D,0)),"")</f>
        <v/>
      </c>
      <c r="G103">
        <f>アイテム項目!$E103</f>
        <v>0</v>
      </c>
      <c r="H103">
        <f>アイテム項目!$F103</f>
        <v>0</v>
      </c>
      <c r="I103">
        <f>アイテム項目!$G103</f>
        <v>0</v>
      </c>
      <c r="J103">
        <f>アイテム項目!$H103</f>
        <v>0</v>
      </c>
      <c r="K103">
        <f>アイテム項目!$I103</f>
        <v>0</v>
      </c>
    </row>
    <row r="104" spans="1:11">
      <c r="A104" t="str">
        <f>IFERROR(INDEX(T項目!$A:$A,MATCH(アイテムビューア!$C104,T項目!$D:$D,0)),"")</f>
        <v/>
      </c>
      <c r="B104" t="str">
        <f>IFERROR(INDEX(S項目!$B:$B,MATCH(アイテムビューア!$A104,S項目!$A:$A,0)),"")</f>
        <v/>
      </c>
      <c r="C104" t="str">
        <f>IFERROR(INDEX(C項目!$A:$A,MATCH(アイテムビューア!$E104,C項目!$D:$D,0)),"")</f>
        <v/>
      </c>
      <c r="D104" t="str">
        <f>IFERROR(INDEX(T項目!$E:$E,MATCH(アイテムビューア!$C104,T項目!$D:$D,0)),"")</f>
        <v/>
      </c>
      <c r="E104">
        <f>アイテム項目!$A104</f>
        <v>0</v>
      </c>
      <c r="F104" t="str">
        <f>IFERROR(INDEX(C項目!$E:$E,MATCH(アイテムビューア!$E104,C項目!$D:$D,0)),"")</f>
        <v/>
      </c>
      <c r="G104">
        <f>アイテム項目!$E104</f>
        <v>0</v>
      </c>
      <c r="H104">
        <f>アイテム項目!$F104</f>
        <v>0</v>
      </c>
      <c r="I104">
        <f>アイテム項目!$G104</f>
        <v>0</v>
      </c>
      <c r="J104">
        <f>アイテム項目!$H104</f>
        <v>0</v>
      </c>
      <c r="K104">
        <f>アイテム項目!$I104</f>
        <v>0</v>
      </c>
    </row>
    <row r="105" spans="1:11">
      <c r="A105" t="str">
        <f>IFERROR(INDEX(T項目!$A:$A,MATCH(アイテムビューア!$C105,T項目!$D:$D,0)),"")</f>
        <v/>
      </c>
      <c r="B105" t="str">
        <f>IFERROR(INDEX(S項目!$B:$B,MATCH(アイテムビューア!$A105,S項目!$A:$A,0)),"")</f>
        <v/>
      </c>
      <c r="C105" t="str">
        <f>IFERROR(INDEX(C項目!$A:$A,MATCH(アイテムビューア!$E105,C項目!$D:$D,0)),"")</f>
        <v/>
      </c>
      <c r="D105" t="str">
        <f>IFERROR(INDEX(T項目!$E:$E,MATCH(アイテムビューア!$C105,T項目!$D:$D,0)),"")</f>
        <v/>
      </c>
      <c r="E105">
        <f>アイテム項目!$A105</f>
        <v>0</v>
      </c>
      <c r="F105" t="str">
        <f>IFERROR(INDEX(C項目!$E:$E,MATCH(アイテムビューア!$E105,C項目!$D:$D,0)),"")</f>
        <v/>
      </c>
      <c r="G105">
        <f>アイテム項目!$E105</f>
        <v>0</v>
      </c>
      <c r="H105">
        <f>アイテム項目!$F105</f>
        <v>0</v>
      </c>
      <c r="I105">
        <f>アイテム項目!$G105</f>
        <v>0</v>
      </c>
      <c r="J105">
        <f>アイテム項目!$H105</f>
        <v>0</v>
      </c>
      <c r="K105">
        <f>アイテム項目!$I105</f>
        <v>0</v>
      </c>
    </row>
    <row r="106" spans="1:11">
      <c r="A106" t="str">
        <f>IFERROR(INDEX(T項目!$A:$A,MATCH(アイテムビューア!$C106,T項目!$D:$D,0)),"")</f>
        <v/>
      </c>
      <c r="B106" t="str">
        <f>IFERROR(INDEX(S項目!$B:$B,MATCH(アイテムビューア!$A106,S項目!$A:$A,0)),"")</f>
        <v/>
      </c>
      <c r="C106" t="str">
        <f>IFERROR(INDEX(C項目!$A:$A,MATCH(アイテムビューア!$E106,C項目!$D:$D,0)),"")</f>
        <v/>
      </c>
      <c r="D106" t="str">
        <f>IFERROR(INDEX(T項目!$E:$E,MATCH(アイテムビューア!$C106,T項目!$D:$D,0)),"")</f>
        <v/>
      </c>
      <c r="E106">
        <f>アイテム項目!$A106</f>
        <v>0</v>
      </c>
      <c r="F106" t="str">
        <f>IFERROR(INDEX(C項目!$E:$E,MATCH(アイテムビューア!$E106,C項目!$D:$D,0)),"")</f>
        <v/>
      </c>
      <c r="G106">
        <f>アイテム項目!$E106</f>
        <v>0</v>
      </c>
      <c r="H106">
        <f>アイテム項目!$F106</f>
        <v>0</v>
      </c>
      <c r="I106">
        <f>アイテム項目!$G106</f>
        <v>0</v>
      </c>
      <c r="J106">
        <f>アイテム項目!$H106</f>
        <v>0</v>
      </c>
      <c r="K106">
        <f>アイテム項目!$I106</f>
        <v>0</v>
      </c>
    </row>
    <row r="107" spans="1:11">
      <c r="A107" t="str">
        <f>IFERROR(INDEX(T項目!$A:$A,MATCH(アイテムビューア!$C107,T項目!$D:$D,0)),"")</f>
        <v/>
      </c>
      <c r="B107" t="str">
        <f>IFERROR(INDEX(S項目!$B:$B,MATCH(アイテムビューア!$A107,S項目!$A:$A,0)),"")</f>
        <v/>
      </c>
      <c r="C107" t="str">
        <f>IFERROR(INDEX(C項目!$A:$A,MATCH(アイテムビューア!$E107,C項目!$D:$D,0)),"")</f>
        <v/>
      </c>
      <c r="D107" t="str">
        <f>IFERROR(INDEX(T項目!$E:$E,MATCH(アイテムビューア!$C107,T項目!$D:$D,0)),"")</f>
        <v/>
      </c>
      <c r="E107">
        <f>アイテム項目!$A107</f>
        <v>0</v>
      </c>
      <c r="F107" t="str">
        <f>IFERROR(INDEX(C項目!$E:$E,MATCH(アイテムビューア!$E107,C項目!$D:$D,0)),"")</f>
        <v/>
      </c>
      <c r="G107">
        <f>アイテム項目!$E107</f>
        <v>0</v>
      </c>
      <c r="H107">
        <f>アイテム項目!$F107</f>
        <v>0</v>
      </c>
      <c r="I107">
        <f>アイテム項目!$G107</f>
        <v>0</v>
      </c>
      <c r="J107">
        <f>アイテム項目!$H107</f>
        <v>0</v>
      </c>
      <c r="K107">
        <f>アイテム項目!$I107</f>
        <v>0</v>
      </c>
    </row>
    <row r="108" spans="1:11">
      <c r="A108" t="str">
        <f>IFERROR(INDEX(T項目!$A:$A,MATCH(アイテムビューア!$C108,T項目!$D:$D,0)),"")</f>
        <v/>
      </c>
      <c r="B108" t="str">
        <f>IFERROR(INDEX(S項目!$B:$B,MATCH(アイテムビューア!$A108,S項目!$A:$A,0)),"")</f>
        <v/>
      </c>
      <c r="C108" t="str">
        <f>IFERROR(INDEX(C項目!$A:$A,MATCH(アイテムビューア!$E108,C項目!$D:$D,0)),"")</f>
        <v/>
      </c>
      <c r="D108" t="str">
        <f>IFERROR(INDEX(T項目!$E:$E,MATCH(アイテムビューア!$C108,T項目!$D:$D,0)),"")</f>
        <v/>
      </c>
      <c r="E108">
        <f>アイテム項目!$A108</f>
        <v>0</v>
      </c>
      <c r="F108" t="str">
        <f>IFERROR(INDEX(C項目!$E:$E,MATCH(アイテムビューア!$E108,C項目!$D:$D,0)),"")</f>
        <v/>
      </c>
      <c r="G108">
        <f>アイテム項目!$E108</f>
        <v>0</v>
      </c>
      <c r="H108">
        <f>アイテム項目!$F108</f>
        <v>0</v>
      </c>
      <c r="I108">
        <f>アイテム項目!$G108</f>
        <v>0</v>
      </c>
      <c r="J108">
        <f>アイテム項目!$H108</f>
        <v>0</v>
      </c>
      <c r="K108">
        <f>アイテム項目!$I108</f>
        <v>0</v>
      </c>
    </row>
    <row r="109" spans="1:11">
      <c r="A109" t="str">
        <f>IFERROR(INDEX(T項目!$A:$A,MATCH(アイテムビューア!$C109,T項目!$D:$D,0)),"")</f>
        <v/>
      </c>
      <c r="B109" t="str">
        <f>IFERROR(INDEX(S項目!$B:$B,MATCH(アイテムビューア!$A109,S項目!$A:$A,0)),"")</f>
        <v/>
      </c>
      <c r="C109" t="str">
        <f>IFERROR(INDEX(C項目!$A:$A,MATCH(アイテムビューア!$E109,C項目!$D:$D,0)),"")</f>
        <v/>
      </c>
      <c r="D109" t="str">
        <f>IFERROR(INDEX(T項目!$E:$E,MATCH(アイテムビューア!$C109,T項目!$D:$D,0)),"")</f>
        <v/>
      </c>
      <c r="E109">
        <f>アイテム項目!$A109</f>
        <v>0</v>
      </c>
      <c r="F109" t="str">
        <f>IFERROR(INDEX(C項目!$E:$E,MATCH(アイテムビューア!$E109,C項目!$D:$D,0)),"")</f>
        <v/>
      </c>
      <c r="G109">
        <f>アイテム項目!$E109</f>
        <v>0</v>
      </c>
      <c r="H109">
        <f>アイテム項目!$F109</f>
        <v>0</v>
      </c>
      <c r="I109">
        <f>アイテム項目!$G109</f>
        <v>0</v>
      </c>
      <c r="J109">
        <f>アイテム項目!$H109</f>
        <v>0</v>
      </c>
      <c r="K109">
        <f>アイテム項目!$I109</f>
        <v>0</v>
      </c>
    </row>
    <row r="110" spans="1:11">
      <c r="A110" t="str">
        <f>IFERROR(INDEX(T項目!$A:$A,MATCH(アイテムビューア!$C110,T項目!$D:$D,0)),"")</f>
        <v/>
      </c>
      <c r="B110" t="str">
        <f>IFERROR(INDEX(S項目!$B:$B,MATCH(アイテムビューア!$A110,S項目!$A:$A,0)),"")</f>
        <v/>
      </c>
      <c r="C110" t="str">
        <f>IFERROR(INDEX(C項目!$A:$A,MATCH(アイテムビューア!$E110,C項目!$D:$D,0)),"")</f>
        <v/>
      </c>
      <c r="D110" t="str">
        <f>IFERROR(INDEX(T項目!$E:$E,MATCH(アイテムビューア!$C110,T項目!$D:$D,0)),"")</f>
        <v/>
      </c>
      <c r="E110">
        <f>アイテム項目!$A110</f>
        <v>0</v>
      </c>
      <c r="F110" t="str">
        <f>IFERROR(INDEX(C項目!$E:$E,MATCH(アイテムビューア!$E110,C項目!$D:$D,0)),"")</f>
        <v/>
      </c>
      <c r="G110">
        <f>アイテム項目!$E110</f>
        <v>0</v>
      </c>
      <c r="H110">
        <f>アイテム項目!$F110</f>
        <v>0</v>
      </c>
      <c r="I110">
        <f>アイテム項目!$G110</f>
        <v>0</v>
      </c>
      <c r="J110">
        <f>アイテム項目!$H110</f>
        <v>0</v>
      </c>
      <c r="K110">
        <f>アイテム項目!$I110</f>
        <v>0</v>
      </c>
    </row>
    <row r="111" spans="1:11">
      <c r="A111" t="str">
        <f>IFERROR(INDEX(T項目!$A:$A,MATCH(アイテムビューア!$C111,T項目!$D:$D,0)),"")</f>
        <v/>
      </c>
      <c r="B111" t="str">
        <f>IFERROR(INDEX(S項目!$B:$B,MATCH(アイテムビューア!$A111,S項目!$A:$A,0)),"")</f>
        <v/>
      </c>
      <c r="C111" t="str">
        <f>IFERROR(INDEX(C項目!$A:$A,MATCH(アイテムビューア!$E111,C項目!$D:$D,0)),"")</f>
        <v/>
      </c>
      <c r="D111" t="str">
        <f>IFERROR(INDEX(T項目!$E:$E,MATCH(アイテムビューア!$C111,T項目!$D:$D,0)),"")</f>
        <v/>
      </c>
      <c r="E111">
        <f>アイテム項目!$A111</f>
        <v>0</v>
      </c>
      <c r="F111" t="str">
        <f>IFERROR(INDEX(C項目!$E:$E,MATCH(アイテムビューア!$E111,C項目!$D:$D,0)),"")</f>
        <v/>
      </c>
      <c r="G111">
        <f>アイテム項目!$E111</f>
        <v>0</v>
      </c>
      <c r="H111">
        <f>アイテム項目!$F111</f>
        <v>0</v>
      </c>
      <c r="I111">
        <f>アイテム項目!$G111</f>
        <v>0</v>
      </c>
      <c r="J111">
        <f>アイテム項目!$H111</f>
        <v>0</v>
      </c>
      <c r="K111">
        <f>アイテム項目!$I111</f>
        <v>0</v>
      </c>
    </row>
    <row r="112" spans="1:11">
      <c r="A112" t="str">
        <f>IFERROR(INDEX(T項目!$A:$A,MATCH(アイテムビューア!$C112,T項目!$D:$D,0)),"")</f>
        <v/>
      </c>
      <c r="B112" t="str">
        <f>IFERROR(INDEX(S項目!$B:$B,MATCH(アイテムビューア!$A112,S項目!$A:$A,0)),"")</f>
        <v/>
      </c>
      <c r="C112" t="str">
        <f>IFERROR(INDEX(C項目!$A:$A,MATCH(アイテムビューア!$E112,C項目!$D:$D,0)),"")</f>
        <v/>
      </c>
      <c r="D112" t="str">
        <f>IFERROR(INDEX(T項目!$E:$E,MATCH(アイテムビューア!$C112,T項目!$D:$D,0)),"")</f>
        <v/>
      </c>
      <c r="E112">
        <f>アイテム項目!$A112</f>
        <v>0</v>
      </c>
      <c r="F112" t="str">
        <f>IFERROR(INDEX(C項目!$E:$E,MATCH(アイテムビューア!$E112,C項目!$D:$D,0)),"")</f>
        <v/>
      </c>
      <c r="G112">
        <f>アイテム項目!$E112</f>
        <v>0</v>
      </c>
      <c r="H112">
        <f>アイテム項目!$F112</f>
        <v>0</v>
      </c>
      <c r="I112">
        <f>アイテム項目!$G112</f>
        <v>0</v>
      </c>
      <c r="J112">
        <f>アイテム項目!$H112</f>
        <v>0</v>
      </c>
      <c r="K112">
        <f>アイテム項目!$I112</f>
        <v>0</v>
      </c>
    </row>
    <row r="113" spans="1:11">
      <c r="A113" t="str">
        <f>IFERROR(INDEX(T項目!$A:$A,MATCH(アイテムビューア!$C113,T項目!$D:$D,0)),"")</f>
        <v/>
      </c>
      <c r="B113" t="str">
        <f>IFERROR(INDEX(S項目!$B:$B,MATCH(アイテムビューア!$A113,S項目!$A:$A,0)),"")</f>
        <v/>
      </c>
      <c r="C113" t="str">
        <f>IFERROR(INDEX(C項目!$A:$A,MATCH(アイテムビューア!$E113,C項目!$D:$D,0)),"")</f>
        <v/>
      </c>
      <c r="D113" t="str">
        <f>IFERROR(INDEX(T項目!$E:$E,MATCH(アイテムビューア!$C113,T項目!$D:$D,0)),"")</f>
        <v/>
      </c>
      <c r="E113">
        <f>アイテム項目!$A113</f>
        <v>0</v>
      </c>
      <c r="F113" t="str">
        <f>IFERROR(INDEX(C項目!$E:$E,MATCH(アイテムビューア!$E113,C項目!$D:$D,0)),"")</f>
        <v/>
      </c>
      <c r="G113">
        <f>アイテム項目!$E113</f>
        <v>0</v>
      </c>
      <c r="H113">
        <f>アイテム項目!$F113</f>
        <v>0</v>
      </c>
      <c r="I113">
        <f>アイテム項目!$G113</f>
        <v>0</v>
      </c>
      <c r="J113">
        <f>アイテム項目!$H113</f>
        <v>0</v>
      </c>
      <c r="K113">
        <f>アイテム項目!$I113</f>
        <v>0</v>
      </c>
    </row>
    <row r="114" spans="1:11">
      <c r="A114" t="str">
        <f>IFERROR(INDEX(T項目!$A:$A,MATCH(アイテムビューア!$C114,T項目!$D:$D,0)),"")</f>
        <v/>
      </c>
      <c r="B114" t="str">
        <f>IFERROR(INDEX(S項目!$B:$B,MATCH(アイテムビューア!$A114,S項目!$A:$A,0)),"")</f>
        <v/>
      </c>
      <c r="C114" t="str">
        <f>IFERROR(INDEX(C項目!$A:$A,MATCH(アイテムビューア!$E114,C項目!$D:$D,0)),"")</f>
        <v/>
      </c>
      <c r="D114" t="str">
        <f>IFERROR(INDEX(T項目!$E:$E,MATCH(アイテムビューア!$C114,T項目!$D:$D,0)),"")</f>
        <v/>
      </c>
      <c r="E114">
        <f>アイテム項目!$A114</f>
        <v>0</v>
      </c>
      <c r="F114" t="str">
        <f>IFERROR(INDEX(C項目!$E:$E,MATCH(アイテムビューア!$E114,C項目!$D:$D,0)),"")</f>
        <v/>
      </c>
      <c r="G114">
        <f>アイテム項目!$E114</f>
        <v>0</v>
      </c>
      <c r="H114">
        <f>アイテム項目!$F114</f>
        <v>0</v>
      </c>
      <c r="I114">
        <f>アイテム項目!$G114</f>
        <v>0</v>
      </c>
      <c r="J114">
        <f>アイテム項目!$H114</f>
        <v>0</v>
      </c>
      <c r="K114">
        <f>アイテム項目!$I114</f>
        <v>0</v>
      </c>
    </row>
    <row r="115" spans="1:11">
      <c r="A115" t="str">
        <f>IFERROR(INDEX(T項目!$A:$A,MATCH(アイテムビューア!$C115,T項目!$D:$D,0)),"")</f>
        <v/>
      </c>
      <c r="B115" t="str">
        <f>IFERROR(INDEX(S項目!$B:$B,MATCH(アイテムビューア!$A115,S項目!$A:$A,0)),"")</f>
        <v/>
      </c>
      <c r="C115" t="str">
        <f>IFERROR(INDEX(C項目!$A:$A,MATCH(アイテムビューア!$E115,C項目!$D:$D,0)),"")</f>
        <v/>
      </c>
      <c r="D115" t="str">
        <f>IFERROR(INDEX(T項目!$E:$E,MATCH(アイテムビューア!$C115,T項目!$D:$D,0)),"")</f>
        <v/>
      </c>
      <c r="E115">
        <f>アイテム項目!$A115</f>
        <v>0</v>
      </c>
      <c r="F115" t="str">
        <f>IFERROR(INDEX(C項目!$E:$E,MATCH(アイテムビューア!$E115,C項目!$D:$D,0)),"")</f>
        <v/>
      </c>
      <c r="G115">
        <f>アイテム項目!$E115</f>
        <v>0</v>
      </c>
      <c r="H115">
        <f>アイテム項目!$F115</f>
        <v>0</v>
      </c>
      <c r="I115">
        <f>アイテム項目!$G115</f>
        <v>0</v>
      </c>
      <c r="J115">
        <f>アイテム項目!$H115</f>
        <v>0</v>
      </c>
      <c r="K115">
        <f>アイテム項目!$I115</f>
        <v>0</v>
      </c>
    </row>
    <row r="116" spans="1:11">
      <c r="A116" t="str">
        <f>IFERROR(INDEX(T項目!$A:$A,MATCH(アイテムビューア!$C116,T項目!$D:$D,0)),"")</f>
        <v/>
      </c>
      <c r="B116" t="str">
        <f>IFERROR(INDEX(S項目!$B:$B,MATCH(アイテムビューア!$A116,S項目!$A:$A,0)),"")</f>
        <v/>
      </c>
      <c r="C116" t="str">
        <f>IFERROR(INDEX(C項目!$A:$A,MATCH(アイテムビューア!$E116,C項目!$D:$D,0)),"")</f>
        <v/>
      </c>
      <c r="D116" t="str">
        <f>IFERROR(INDEX(T項目!$E:$E,MATCH(アイテムビューア!$C116,T項目!$D:$D,0)),"")</f>
        <v/>
      </c>
      <c r="E116" t="str">
        <f>アイテム項目!$A116</f>
        <v>T-0403</v>
      </c>
      <c r="F116" t="str">
        <f>IFERROR(INDEX(C項目!$E:$E,MATCH(アイテムビューア!$E116,C項目!$D:$D,0)),"")</f>
        <v/>
      </c>
      <c r="G116" t="str">
        <f>アイテム項目!$E116</f>
        <v>I-00114</v>
      </c>
      <c r="H116" t="str">
        <f>アイテム項目!$F116</f>
        <v>ネピアティシュ</v>
      </c>
      <c r="I116" t="str">
        <f>アイテム項目!$G116</f>
        <v>日用品</v>
      </c>
      <c r="J116" t="str">
        <f>アイテム項目!$H116</f>
        <v>B</v>
      </c>
      <c r="K116">
        <f>アイテム項目!$I116</f>
        <v>0</v>
      </c>
    </row>
    <row r="117" spans="1:11">
      <c r="A117" t="str">
        <f>IFERROR(INDEX(T項目!$A:$A,MATCH(アイテムビューア!$C117,T項目!$D:$D,0)),"")</f>
        <v/>
      </c>
      <c r="B117" t="str">
        <f>IFERROR(INDEX(S項目!$B:$B,MATCH(アイテムビューア!$A117,S項目!$A:$A,0)),"")</f>
        <v/>
      </c>
      <c r="C117" t="str">
        <f>IFERROR(INDEX(C項目!$A:$A,MATCH(アイテムビューア!$E117,C項目!$D:$D,0)),"")</f>
        <v/>
      </c>
      <c r="D117" t="str">
        <f>IFERROR(INDEX(T項目!$E:$E,MATCH(アイテムビューア!$C117,T項目!$D:$D,0)),"")</f>
        <v/>
      </c>
      <c r="E117" t="str">
        <f>アイテム項目!$A117</f>
        <v>T-0403</v>
      </c>
      <c r="F117" t="str">
        <f>IFERROR(INDEX(C項目!$E:$E,MATCH(アイテムビューア!$E117,C項目!$D:$D,0)),"")</f>
        <v/>
      </c>
      <c r="G117" t="str">
        <f>アイテム項目!$E117</f>
        <v>I-00115</v>
      </c>
      <c r="H117" t="str">
        <f>アイテム項目!$F117</f>
        <v>HANDYSAW</v>
      </c>
      <c r="I117" t="str">
        <f>アイテム項目!$G117</f>
        <v>工具</v>
      </c>
      <c r="J117" t="str">
        <f>アイテム項目!$H117</f>
        <v>B</v>
      </c>
      <c r="K117">
        <f>アイテム項目!$I117</f>
        <v>0</v>
      </c>
    </row>
    <row r="118" spans="1:11">
      <c r="A118" t="str">
        <f>IFERROR(INDEX(T項目!$A:$A,MATCH(アイテムビューア!$C118,T項目!$D:$D,0)),"")</f>
        <v/>
      </c>
      <c r="B118" t="str">
        <f>IFERROR(INDEX(S項目!$B:$B,MATCH(アイテムビューア!$A118,S項目!$A:$A,0)),"")</f>
        <v/>
      </c>
      <c r="C118" t="str">
        <f>IFERROR(INDEX(C項目!$A:$A,MATCH(アイテムビューア!$E118,C項目!$D:$D,0)),"")</f>
        <v/>
      </c>
      <c r="D118" t="str">
        <f>IFERROR(INDEX(T項目!$E:$E,MATCH(アイテムビューア!$C118,T項目!$D:$D,0)),"")</f>
        <v/>
      </c>
      <c r="E118" t="str">
        <f>アイテム項目!$A118</f>
        <v>T-0403</v>
      </c>
      <c r="F118" t="str">
        <f>IFERROR(INDEX(C項目!$E:$E,MATCH(アイテムビューア!$E118,C項目!$D:$D,0)),"")</f>
        <v/>
      </c>
      <c r="G118" t="str">
        <f>アイテム項目!$E118</f>
        <v>I-00116</v>
      </c>
      <c r="H118" t="str">
        <f>アイテム項目!$F118</f>
        <v>テープ（薄黄色）</v>
      </c>
      <c r="I118" t="str">
        <f>アイテム項目!$G118</f>
        <v>テープ</v>
      </c>
      <c r="J118" t="str">
        <f>アイテム項目!$H118</f>
        <v>B</v>
      </c>
      <c r="K118">
        <f>アイテム項目!$I118</f>
        <v>0</v>
      </c>
    </row>
    <row r="119" spans="1:11">
      <c r="A119" t="str">
        <f>IFERROR(INDEX(T項目!$A:$A,MATCH(アイテムビューア!$C119,T項目!$D:$D,0)),"")</f>
        <v/>
      </c>
      <c r="B119" t="str">
        <f>IFERROR(INDEX(S項目!$B:$B,MATCH(アイテムビューア!$A119,S項目!$A:$A,0)),"")</f>
        <v/>
      </c>
      <c r="C119" t="str">
        <f>IFERROR(INDEX(C項目!$A:$A,MATCH(アイテムビューア!$E119,C項目!$D:$D,0)),"")</f>
        <v/>
      </c>
      <c r="D119" t="str">
        <f>IFERROR(INDEX(T項目!$E:$E,MATCH(アイテムビューア!$C119,T項目!$D:$D,0)),"")</f>
        <v/>
      </c>
      <c r="E119" t="str">
        <f>アイテム項目!$A119</f>
        <v>T-0403</v>
      </c>
      <c r="F119" t="str">
        <f>IFERROR(INDEX(C項目!$E:$E,MATCH(アイテムビューア!$E119,C項目!$D:$D,0)),"")</f>
        <v/>
      </c>
      <c r="G119" t="str">
        <f>アイテム項目!$E119</f>
        <v>I-00117</v>
      </c>
      <c r="H119" t="str">
        <f>アイテム項目!$F119</f>
        <v>テープ（透明）</v>
      </c>
      <c r="I119" t="str">
        <f>アイテム項目!$G119</f>
        <v>テープ</v>
      </c>
      <c r="J119" t="str">
        <f>アイテム項目!$H119</f>
        <v>B</v>
      </c>
      <c r="K119">
        <f>アイテム項目!$I119</f>
        <v>0</v>
      </c>
    </row>
    <row r="120" spans="1:11">
      <c r="A120" t="str">
        <f>IFERROR(INDEX(T項目!$A:$A,MATCH(アイテムビューア!$C120,T項目!$D:$D,0)),"")</f>
        <v/>
      </c>
      <c r="B120" t="str">
        <f>IFERROR(INDEX(S項目!$B:$B,MATCH(アイテムビューア!$A120,S項目!$A:$A,0)),"")</f>
        <v/>
      </c>
      <c r="C120" t="str">
        <f>IFERROR(INDEX(C項目!$A:$A,MATCH(アイテムビューア!$E120,C項目!$D:$D,0)),"")</f>
        <v/>
      </c>
      <c r="D120" t="str">
        <f>IFERROR(INDEX(T項目!$E:$E,MATCH(アイテムビューア!$C120,T項目!$D:$D,0)),"")</f>
        <v/>
      </c>
      <c r="E120" t="str">
        <f>アイテム項目!$A120</f>
        <v>T-0403</v>
      </c>
      <c r="F120" t="str">
        <f>IFERROR(INDEX(C項目!$E:$E,MATCH(アイテムビューア!$E120,C項目!$D:$D,0)),"")</f>
        <v/>
      </c>
      <c r="G120" t="str">
        <f>アイテム項目!$E120</f>
        <v>I-00118</v>
      </c>
      <c r="H120" t="str">
        <f>アイテム項目!$F120</f>
        <v>タップダイスセット</v>
      </c>
      <c r="I120" t="str">
        <f>アイテム項目!$G120</f>
        <v>工具</v>
      </c>
      <c r="J120" t="str">
        <f>アイテム項目!$H120</f>
        <v>B</v>
      </c>
      <c r="K120">
        <f>アイテム項目!$I120</f>
        <v>0</v>
      </c>
    </row>
    <row r="121" spans="1:11">
      <c r="A121" t="str">
        <f>IFERROR(INDEX(T項目!$A:$A,MATCH(アイテムビューア!$C121,T項目!$D:$D,0)),"")</f>
        <v/>
      </c>
      <c r="B121" t="str">
        <f>IFERROR(INDEX(S項目!$B:$B,MATCH(アイテムビューア!$A121,S項目!$A:$A,0)),"")</f>
        <v/>
      </c>
      <c r="C121" t="str">
        <f>IFERROR(INDEX(C項目!$A:$A,MATCH(アイテムビューア!$E121,C項目!$D:$D,0)),"")</f>
        <v/>
      </c>
      <c r="D121" t="str">
        <f>IFERROR(INDEX(T項目!$E:$E,MATCH(アイテムビューア!$C121,T項目!$D:$D,0)),"")</f>
        <v/>
      </c>
      <c r="E121">
        <f>アイテム項目!$A121</f>
        <v>0</v>
      </c>
      <c r="F121" t="str">
        <f>IFERROR(INDEX(C項目!$E:$E,MATCH(アイテムビューア!$E121,C項目!$D:$D,0)),"")</f>
        <v/>
      </c>
      <c r="G121">
        <f>アイテム項目!$E121</f>
        <v>0</v>
      </c>
      <c r="H121">
        <f>アイテム項目!$F121</f>
        <v>0</v>
      </c>
      <c r="I121">
        <f>アイテム項目!$G121</f>
        <v>0</v>
      </c>
      <c r="J121">
        <f>アイテム項目!$H121</f>
        <v>0</v>
      </c>
      <c r="K121">
        <f>アイテム項目!$I121</f>
        <v>0</v>
      </c>
    </row>
    <row r="122" spans="1:11">
      <c r="A122" t="str">
        <f>IFERROR(INDEX(T項目!$A:$A,MATCH(アイテムビューア!$C122,T項目!$D:$D,0)),"")</f>
        <v/>
      </c>
      <c r="B122" t="str">
        <f>IFERROR(INDEX(S項目!$B:$B,MATCH(アイテムビューア!$A122,S項目!$A:$A,0)),"")</f>
        <v/>
      </c>
      <c r="C122" t="str">
        <f>IFERROR(INDEX(C項目!$A:$A,MATCH(アイテムビューア!$E122,C項目!$D:$D,0)),"")</f>
        <v/>
      </c>
      <c r="D122" t="str">
        <f>IFERROR(INDEX(T項目!$E:$E,MATCH(アイテムビューア!$C122,T項目!$D:$D,0)),"")</f>
        <v/>
      </c>
      <c r="E122" t="str">
        <f>アイテム項目!$A122</f>
        <v>T-0404</v>
      </c>
      <c r="F122" t="str">
        <f>IFERROR(INDEX(C項目!$E:$E,MATCH(アイテムビューア!$E122,C項目!$D:$D,0)),"")</f>
        <v/>
      </c>
      <c r="G122" t="str">
        <f>アイテム項目!$E122</f>
        <v>I-00119</v>
      </c>
      <c r="H122" t="str">
        <f>アイテム項目!$F122</f>
        <v>薄黄色テープ</v>
      </c>
      <c r="I122" t="str">
        <f>アイテム項目!$G122</f>
        <v>テープ</v>
      </c>
      <c r="J122" t="str">
        <f>アイテム項目!$H122</f>
        <v>B</v>
      </c>
      <c r="K122">
        <f>アイテム項目!$I122</f>
        <v>0</v>
      </c>
    </row>
    <row r="123" spans="1:11">
      <c r="A123" t="str">
        <f>IFERROR(INDEX(T項目!$A:$A,MATCH(アイテムビューア!$C123,T項目!$D:$D,0)),"")</f>
        <v/>
      </c>
      <c r="B123" t="str">
        <f>IFERROR(INDEX(S項目!$B:$B,MATCH(アイテムビューア!$A123,S項目!$A:$A,0)),"")</f>
        <v/>
      </c>
      <c r="C123" t="str">
        <f>IFERROR(INDEX(C項目!$A:$A,MATCH(アイテムビューア!$E123,C項目!$D:$D,0)),"")</f>
        <v/>
      </c>
      <c r="D123" t="str">
        <f>IFERROR(INDEX(T項目!$E:$E,MATCH(アイテムビューア!$C123,T項目!$D:$D,0)),"")</f>
        <v/>
      </c>
      <c r="E123" t="str">
        <f>アイテム項目!$A123</f>
        <v>T-0404</v>
      </c>
      <c r="F123" t="str">
        <f>IFERROR(INDEX(C項目!$E:$E,MATCH(アイテムビューア!$E123,C項目!$D:$D,0)),"")</f>
        <v/>
      </c>
      <c r="G123" t="str">
        <f>アイテム項目!$E123</f>
        <v>I-00120</v>
      </c>
      <c r="H123" t="str">
        <f>アイテム項目!$F123</f>
        <v>黒クリップ類入り袋</v>
      </c>
      <c r="I123" t="str">
        <f>アイテム項目!$G123</f>
        <v>固定具</v>
      </c>
      <c r="J123" t="str">
        <f>アイテム項目!$H123</f>
        <v>B</v>
      </c>
      <c r="K123">
        <f>アイテム項目!$I123</f>
        <v>0</v>
      </c>
    </row>
    <row r="124" spans="1:11">
      <c r="A124" t="str">
        <f>IFERROR(INDEX(T項目!$A:$A,MATCH(アイテムビューア!$C124,T項目!$D:$D,0)),"")</f>
        <v/>
      </c>
      <c r="B124" t="str">
        <f>IFERROR(INDEX(S項目!$B:$B,MATCH(アイテムビューア!$A124,S項目!$A:$A,0)),"")</f>
        <v/>
      </c>
      <c r="C124" t="str">
        <f>IFERROR(INDEX(C項目!$A:$A,MATCH(アイテムビューア!$E124,C項目!$D:$D,0)),"")</f>
        <v/>
      </c>
      <c r="D124" t="str">
        <f>IFERROR(INDEX(T項目!$E:$E,MATCH(アイテムビューア!$C124,T項目!$D:$D,0)),"")</f>
        <v/>
      </c>
      <c r="E124" t="str">
        <f>アイテム項目!$A124</f>
        <v>T-0404</v>
      </c>
      <c r="F124" t="str">
        <f>IFERROR(INDEX(C項目!$E:$E,MATCH(アイテムビューア!$E124,C項目!$D:$D,0)),"")</f>
        <v/>
      </c>
      <c r="G124" t="str">
        <f>アイテム項目!$E124</f>
        <v>I-00121</v>
      </c>
      <c r="H124" t="str">
        <f>アイテム項目!$F124</f>
        <v>空チャック袋</v>
      </c>
      <c r="I124" t="str">
        <f>アイテム項目!$G124</f>
        <v>袋</v>
      </c>
      <c r="J124" t="str">
        <f>アイテム項目!$H124</f>
        <v>B</v>
      </c>
      <c r="K124">
        <f>アイテム項目!$I124</f>
        <v>0</v>
      </c>
    </row>
    <row r="125" spans="1:11">
      <c r="A125" t="str">
        <f>IFERROR(INDEX(T項目!$A:$A,MATCH(アイテムビューア!$C125,T項目!$D:$D,0)),"")</f>
        <v/>
      </c>
      <c r="B125" t="str">
        <f>IFERROR(INDEX(S項目!$B:$B,MATCH(アイテムビューア!$A125,S項目!$A:$A,0)),"")</f>
        <v/>
      </c>
      <c r="C125" t="str">
        <f>IFERROR(INDEX(C項目!$A:$A,MATCH(アイテムビューア!$E125,C項目!$D:$D,0)),"")</f>
        <v/>
      </c>
      <c r="D125" t="str">
        <f>IFERROR(INDEX(T項目!$E:$E,MATCH(アイテムビューア!$C125,T項目!$D:$D,0)),"")</f>
        <v/>
      </c>
      <c r="E125" t="str">
        <f>アイテム項目!$A125</f>
        <v>T-0404</v>
      </c>
      <c r="F125" t="str">
        <f>IFERROR(INDEX(C項目!$E:$E,MATCH(アイテムビューア!$E125,C項目!$D:$D,0)),"")</f>
        <v/>
      </c>
      <c r="G125" t="str">
        <f>アイテム項目!$E125</f>
        <v>I-00122</v>
      </c>
      <c r="H125" t="str">
        <f>アイテム項目!$F125</f>
        <v>刷毛多用途70</v>
      </c>
      <c r="I125" t="str">
        <f>アイテム項目!$G125</f>
        <v>工具</v>
      </c>
      <c r="J125" t="str">
        <f>アイテム項目!$H125</f>
        <v>B</v>
      </c>
      <c r="K125">
        <f>アイテム項目!$I125</f>
        <v>0</v>
      </c>
    </row>
    <row r="126" spans="1:11">
      <c r="A126" t="str">
        <f>IFERROR(INDEX(T項目!$A:$A,MATCH(アイテムビューア!$C126,T項目!$D:$D,0)),"")</f>
        <v/>
      </c>
      <c r="B126" t="str">
        <f>IFERROR(INDEX(S項目!$B:$B,MATCH(アイテムビューア!$A126,S項目!$A:$A,0)),"")</f>
        <v/>
      </c>
      <c r="C126" t="str">
        <f>IFERROR(INDEX(C項目!$A:$A,MATCH(アイテムビューア!$E126,C項目!$D:$D,0)),"")</f>
        <v/>
      </c>
      <c r="D126" t="str">
        <f>IFERROR(INDEX(T項目!$E:$E,MATCH(アイテムビューア!$C126,T項目!$D:$D,0)),"")</f>
        <v/>
      </c>
      <c r="E126" t="str">
        <f>アイテム項目!$A126</f>
        <v>T-0404</v>
      </c>
      <c r="F126" t="str">
        <f>IFERROR(INDEX(C項目!$E:$E,MATCH(アイテムビューア!$E126,C項目!$D:$D,0)),"")</f>
        <v/>
      </c>
      <c r="G126" t="str">
        <f>アイテム項目!$E126</f>
        <v>I-00123</v>
      </c>
      <c r="H126" t="str">
        <f>アイテム項目!$F126</f>
        <v>刷毛平刷毛</v>
      </c>
      <c r="I126" t="str">
        <f>アイテム項目!$G126</f>
        <v>工具</v>
      </c>
      <c r="J126" t="str">
        <f>アイテム項目!$H126</f>
        <v>B</v>
      </c>
      <c r="K126">
        <f>アイテム項目!$I126</f>
        <v>0</v>
      </c>
    </row>
    <row r="127" spans="1:11">
      <c r="A127" t="str">
        <f>IFERROR(INDEX(T項目!$A:$A,MATCH(アイテムビューア!$C127,T項目!$D:$D,0)),"")</f>
        <v/>
      </c>
      <c r="B127" t="str">
        <f>IFERROR(INDEX(S項目!$B:$B,MATCH(アイテムビューア!$A127,S項目!$A:$A,0)),"")</f>
        <v/>
      </c>
      <c r="C127" t="str">
        <f>IFERROR(INDEX(C項目!$A:$A,MATCH(アイテムビューア!$E127,C項目!$D:$D,0)),"")</f>
        <v/>
      </c>
      <c r="D127" t="str">
        <f>IFERROR(INDEX(T項目!$E:$E,MATCH(アイテムビューア!$C127,T項目!$D:$D,0)),"")</f>
        <v/>
      </c>
      <c r="E127" t="str">
        <f>アイテム項目!$A127</f>
        <v>T-0404</v>
      </c>
      <c r="F127" t="str">
        <f>IFERROR(INDEX(C項目!$E:$E,MATCH(アイテムビューア!$E127,C項目!$D:$D,0)),"")</f>
        <v/>
      </c>
      <c r="G127" t="str">
        <f>アイテム項目!$E127</f>
        <v>I-00124</v>
      </c>
      <c r="H127" t="str">
        <f>アイテム項目!$F127</f>
        <v>刷毛多用途</v>
      </c>
      <c r="I127" t="str">
        <f>アイテム項目!$G127</f>
        <v>工具</v>
      </c>
      <c r="J127" t="str">
        <f>アイテム項目!$H127</f>
        <v>B</v>
      </c>
      <c r="K127">
        <f>アイテム項目!$I127</f>
        <v>0</v>
      </c>
    </row>
    <row r="128" spans="1:11">
      <c r="A128" t="str">
        <f>IFERROR(INDEX(T項目!$A:$A,MATCH(アイテムビューア!$C128,T項目!$D:$D,0)),"")</f>
        <v/>
      </c>
      <c r="B128" t="str">
        <f>IFERROR(INDEX(S項目!$B:$B,MATCH(アイテムビューア!$A128,S項目!$A:$A,0)),"")</f>
        <v/>
      </c>
      <c r="C128" t="str">
        <f>IFERROR(INDEX(C項目!$A:$A,MATCH(アイテムビューア!$E128,C項目!$D:$D,0)),"")</f>
        <v/>
      </c>
      <c r="D128" t="str">
        <f>IFERROR(INDEX(T項目!$E:$E,MATCH(アイテムビューア!$C128,T項目!$D:$D,0)),"")</f>
        <v/>
      </c>
      <c r="E128" t="str">
        <f>アイテム項目!$A128</f>
        <v>T-0404</v>
      </c>
      <c r="F128" t="str">
        <f>IFERROR(INDEX(C項目!$E:$E,MATCH(アイテムビューア!$E128,C項目!$D:$D,0)),"")</f>
        <v/>
      </c>
      <c r="G128" t="str">
        <f>アイテム項目!$E128</f>
        <v>I-00125</v>
      </c>
      <c r="H128" t="str">
        <f>アイテム項目!$F128</f>
        <v>刷毛万能用</v>
      </c>
      <c r="I128" t="str">
        <f>アイテム項目!$G128</f>
        <v>工具</v>
      </c>
      <c r="J128" t="str">
        <f>アイテム項目!$H128</f>
        <v>B</v>
      </c>
      <c r="K128">
        <f>アイテム項目!$I128</f>
        <v>0</v>
      </c>
    </row>
    <row r="129" spans="1:11">
      <c r="A129" t="str">
        <f>IFERROR(INDEX(T項目!$A:$A,MATCH(アイテムビューア!$C129,T項目!$D:$D,0)),"")</f>
        <v/>
      </c>
      <c r="B129" t="str">
        <f>IFERROR(INDEX(S項目!$B:$B,MATCH(アイテムビューア!$A129,S項目!$A:$A,0)),"")</f>
        <v/>
      </c>
      <c r="C129" t="str">
        <f>IFERROR(INDEX(C項目!$A:$A,MATCH(アイテムビューア!$E129,C項目!$D:$D,0)),"")</f>
        <v/>
      </c>
      <c r="D129" t="str">
        <f>IFERROR(INDEX(T項目!$E:$E,MATCH(アイテムビューア!$C129,T項目!$D:$D,0)),"")</f>
        <v/>
      </c>
      <c r="E129" t="str">
        <f>アイテム項目!$A129</f>
        <v>T-0404</v>
      </c>
      <c r="F129" t="str">
        <f>IFERROR(INDEX(C項目!$E:$E,MATCH(アイテムビューア!$E129,C項目!$D:$D,0)),"")</f>
        <v/>
      </c>
      <c r="G129" t="str">
        <f>アイテム項目!$E129</f>
        <v>I-00126</v>
      </c>
      <c r="H129" t="str">
        <f>アイテム項目!$F129</f>
        <v>刷毛細身斜め刃</v>
      </c>
      <c r="I129" t="str">
        <f>アイテム項目!$G129</f>
        <v>工具</v>
      </c>
      <c r="J129" t="str">
        <f>アイテム項目!$H129</f>
        <v>B</v>
      </c>
      <c r="K129">
        <f>アイテム項目!$I129</f>
        <v>0</v>
      </c>
    </row>
    <row r="130" spans="1:11">
      <c r="A130" t="str">
        <f>IFERROR(INDEX(T項目!$A:$A,MATCH(アイテムビューア!$C130,T項目!$D:$D,0)),"")</f>
        <v/>
      </c>
      <c r="B130" t="str">
        <f>IFERROR(INDEX(S項目!$B:$B,MATCH(アイテムビューア!$A130,S項目!$A:$A,0)),"")</f>
        <v/>
      </c>
      <c r="C130" t="str">
        <f>IFERROR(INDEX(C項目!$A:$A,MATCH(アイテムビューア!$E130,C項目!$D:$D,0)),"")</f>
        <v/>
      </c>
      <c r="D130" t="str">
        <f>IFERROR(INDEX(T項目!$E:$E,MATCH(アイテムビューア!$C130,T項目!$D:$D,0)),"")</f>
        <v/>
      </c>
      <c r="E130" t="str">
        <f>アイテム項目!$A130</f>
        <v>T-0404</v>
      </c>
      <c r="F130" t="str">
        <f>IFERROR(INDEX(C項目!$E:$E,MATCH(アイテムビューア!$E130,C項目!$D:$D,0)),"")</f>
        <v/>
      </c>
      <c r="G130" t="str">
        <f>アイテム項目!$E130</f>
        <v>I-00127</v>
      </c>
      <c r="H130" t="str">
        <f>アイテム項目!$F130</f>
        <v>巻尺20m</v>
      </c>
      <c r="I130" t="str">
        <f>アイテム項目!$G130</f>
        <v>工具</v>
      </c>
      <c r="J130" t="str">
        <f>アイテム項目!$H130</f>
        <v>B</v>
      </c>
      <c r="K130">
        <f>アイテム項目!$I130</f>
        <v>0</v>
      </c>
    </row>
    <row r="131" spans="1:11">
      <c r="A131" t="str">
        <f>IFERROR(INDEX(T項目!$A:$A,MATCH(アイテムビューア!$C131,T項目!$D:$D,0)),"")</f>
        <v/>
      </c>
      <c r="B131" t="str">
        <f>IFERROR(INDEX(S項目!$B:$B,MATCH(アイテムビューア!$A131,S項目!$A:$A,0)),"")</f>
        <v/>
      </c>
      <c r="C131" t="str">
        <f>IFERROR(INDEX(C項目!$A:$A,MATCH(アイテムビューア!$E131,C項目!$D:$D,0)),"")</f>
        <v/>
      </c>
      <c r="D131" t="str">
        <f>IFERROR(INDEX(T項目!$E:$E,MATCH(アイテムビューア!$C131,T項目!$D:$D,0)),"")</f>
        <v/>
      </c>
      <c r="E131" t="str">
        <f>アイテム項目!$A131</f>
        <v>T-0404</v>
      </c>
      <c r="F131" t="str">
        <f>IFERROR(INDEX(C項目!$E:$E,MATCH(アイテムビューア!$E131,C項目!$D:$D,0)),"")</f>
        <v/>
      </c>
      <c r="G131" t="str">
        <f>アイテム項目!$E131</f>
        <v>I-00128</v>
      </c>
      <c r="H131" t="str">
        <f>アイテム項目!$F131</f>
        <v>ECOFUSED両面テープ</v>
      </c>
      <c r="I131" t="str">
        <f>アイテム項目!$G131</f>
        <v>テープ</v>
      </c>
      <c r="J131" t="str">
        <f>アイテム項目!$H131</f>
        <v>B</v>
      </c>
      <c r="K131">
        <f>アイテム項目!$I131</f>
        <v>0</v>
      </c>
    </row>
    <row r="132" spans="1:11">
      <c r="A132" t="str">
        <f>IFERROR(INDEX(T項目!$A:$A,MATCH(アイテムビューア!$C132,T項目!$D:$D,0)),"")</f>
        <v/>
      </c>
      <c r="B132" t="str">
        <f>IFERROR(INDEX(S項目!$B:$B,MATCH(アイテムビューア!$A132,S項目!$A:$A,0)),"")</f>
        <v/>
      </c>
      <c r="C132" t="str">
        <f>IFERROR(INDEX(C項目!$A:$A,MATCH(アイテムビューア!$E132,C項目!$D:$D,0)),"")</f>
        <v/>
      </c>
      <c r="D132" t="str">
        <f>IFERROR(INDEX(T項目!$E:$E,MATCH(アイテムビューア!$C132,T項目!$D:$D,0)),"")</f>
        <v/>
      </c>
      <c r="E132" t="str">
        <f>アイテム項目!$A132</f>
        <v>T-0404</v>
      </c>
      <c r="F132" t="str">
        <f>IFERROR(INDEX(C項目!$E:$E,MATCH(アイテムビューア!$E132,C項目!$D:$D,0)),"")</f>
        <v/>
      </c>
      <c r="G132" t="str">
        <f>アイテム項目!$E132</f>
        <v>I-00129</v>
      </c>
      <c r="H132" t="str">
        <f>アイテム項目!$F132</f>
        <v>赤色両面テープ</v>
      </c>
      <c r="I132" t="str">
        <f>アイテム項目!$G132</f>
        <v>テープ</v>
      </c>
      <c r="J132" t="str">
        <f>アイテム項目!$H132</f>
        <v>B</v>
      </c>
      <c r="K132">
        <f>アイテム項目!$I132</f>
        <v>0</v>
      </c>
    </row>
    <row r="133" spans="1:11">
      <c r="A133" t="str">
        <f>IFERROR(INDEX(T項目!$A:$A,MATCH(アイテムビューア!$C133,T項目!$D:$D,0)),"")</f>
        <v/>
      </c>
      <c r="B133" t="str">
        <f>IFERROR(INDEX(S項目!$B:$B,MATCH(アイテムビューア!$A133,S項目!$A:$A,0)),"")</f>
        <v/>
      </c>
      <c r="C133" t="str">
        <f>IFERROR(INDEX(C項目!$A:$A,MATCH(アイテムビューア!$E133,C項目!$D:$D,0)),"")</f>
        <v/>
      </c>
      <c r="D133" t="str">
        <f>IFERROR(INDEX(T項目!$E:$E,MATCH(アイテムビューア!$C133,T項目!$D:$D,0)),"")</f>
        <v/>
      </c>
      <c r="E133" t="str">
        <f>アイテム項目!$A133</f>
        <v>T-0404</v>
      </c>
      <c r="F133" t="str">
        <f>IFERROR(INDEX(C項目!$E:$E,MATCH(アイテムビューア!$E133,C項目!$D:$D,0)),"")</f>
        <v/>
      </c>
      <c r="G133" t="str">
        <f>アイテム項目!$E133</f>
        <v>I-00130</v>
      </c>
      <c r="H133" t="str">
        <f>アイテム項目!$F133</f>
        <v>透明小型テープ</v>
      </c>
      <c r="I133" t="str">
        <f>アイテム項目!$G133</f>
        <v>テープ</v>
      </c>
      <c r="J133" t="str">
        <f>アイテム項目!$H133</f>
        <v>B</v>
      </c>
      <c r="K133">
        <f>アイテム項目!$I133</f>
        <v>0</v>
      </c>
    </row>
    <row r="134" spans="1:11">
      <c r="A134" t="str">
        <f>IFERROR(INDEX(T項目!$A:$A,MATCH(アイテムビューア!$C134,T項目!$D:$D,0)),"")</f>
        <v/>
      </c>
      <c r="B134" t="str">
        <f>IFERROR(INDEX(S項目!$B:$B,MATCH(アイテムビューア!$A134,S項目!$A:$A,0)),"")</f>
        <v/>
      </c>
      <c r="C134" t="str">
        <f>IFERROR(INDEX(C項目!$A:$A,MATCH(アイテムビューア!$E134,C項目!$D:$D,0)),"")</f>
        <v/>
      </c>
      <c r="D134" t="str">
        <f>IFERROR(INDEX(T項目!$E:$E,MATCH(アイテムビューア!$C134,T項目!$D:$D,0)),"")</f>
        <v/>
      </c>
      <c r="E134" t="str">
        <f>アイテム項目!$A134</f>
        <v>T-0404</v>
      </c>
      <c r="F134" t="str">
        <f>IFERROR(INDEX(C項目!$E:$E,MATCH(アイテムビューア!$E134,C項目!$D:$D,0)),"")</f>
        <v/>
      </c>
      <c r="G134" t="str">
        <f>アイテム項目!$E134</f>
        <v>I-00131</v>
      </c>
      <c r="H134" t="str">
        <f>アイテム項目!$F134</f>
        <v>黒ビニールテープ（1）</v>
      </c>
      <c r="I134" t="str">
        <f>アイテム項目!$G134</f>
        <v>テープ</v>
      </c>
      <c r="J134" t="str">
        <f>アイテム項目!$H134</f>
        <v>B</v>
      </c>
      <c r="K134">
        <f>アイテム項目!$I134</f>
        <v>0</v>
      </c>
    </row>
    <row r="135" spans="1:11">
      <c r="A135" t="str">
        <f>IFERROR(INDEX(T項目!$A:$A,MATCH(アイテムビューア!$C135,T項目!$D:$D,0)),"")</f>
        <v/>
      </c>
      <c r="B135" t="str">
        <f>IFERROR(INDEX(S項目!$B:$B,MATCH(アイテムビューア!$A135,S項目!$A:$A,0)),"")</f>
        <v/>
      </c>
      <c r="C135" t="str">
        <f>IFERROR(INDEX(C項目!$A:$A,MATCH(アイテムビューア!$E135,C項目!$D:$D,0)),"")</f>
        <v/>
      </c>
      <c r="D135" t="str">
        <f>IFERROR(INDEX(T項目!$E:$E,MATCH(アイテムビューア!$C135,T項目!$D:$D,0)),"")</f>
        <v/>
      </c>
      <c r="E135" t="str">
        <f>アイテム項目!$A135</f>
        <v>T-0404</v>
      </c>
      <c r="F135" t="str">
        <f>IFERROR(INDEX(C項目!$E:$E,MATCH(アイテムビューア!$E135,C項目!$D:$D,0)),"")</f>
        <v/>
      </c>
      <c r="G135" t="str">
        <f>アイテム項目!$E135</f>
        <v>I-00132</v>
      </c>
      <c r="H135" t="str">
        <f>アイテム項目!$F135</f>
        <v>黒ビニールテープ（2）</v>
      </c>
      <c r="I135" t="str">
        <f>アイテム項目!$G135</f>
        <v>テープ</v>
      </c>
      <c r="J135" t="str">
        <f>アイテム項目!$H135</f>
        <v>B</v>
      </c>
      <c r="K135">
        <f>アイテム項目!$I135</f>
        <v>0</v>
      </c>
    </row>
    <row r="136" spans="1:11">
      <c r="A136" t="str">
        <f>IFERROR(INDEX(T項目!$A:$A,MATCH(アイテムビューア!$C136,T項目!$D:$D,0)),"")</f>
        <v/>
      </c>
      <c r="B136" t="str">
        <f>IFERROR(INDEX(S項目!$B:$B,MATCH(アイテムビューア!$A136,S項目!$A:$A,0)),"")</f>
        <v/>
      </c>
      <c r="C136" t="str">
        <f>IFERROR(INDEX(C項目!$A:$A,MATCH(アイテムビューア!$E136,C項目!$D:$D,0)),"")</f>
        <v/>
      </c>
      <c r="D136" t="str">
        <f>IFERROR(INDEX(T項目!$E:$E,MATCH(アイテムビューア!$C136,T項目!$D:$D,0)),"")</f>
        <v/>
      </c>
      <c r="E136" t="str">
        <f>アイテム項目!$A136</f>
        <v>T-0404</v>
      </c>
      <c r="F136" t="str">
        <f>IFERROR(INDEX(C項目!$E:$E,MATCH(アイテムビューア!$E136,C項目!$D:$D,0)),"")</f>
        <v/>
      </c>
      <c r="G136" t="str">
        <f>アイテム項目!$E136</f>
        <v>I-00133</v>
      </c>
      <c r="H136" t="str">
        <f>アイテム項目!$F136</f>
        <v>アクリルフォーム両面テープ（透明）</v>
      </c>
      <c r="I136" t="str">
        <f>アイテム項目!$G136</f>
        <v>テープ</v>
      </c>
      <c r="J136" t="str">
        <f>アイテム項目!$H136</f>
        <v>B</v>
      </c>
      <c r="K136">
        <f>アイテム項目!$I136</f>
        <v>0</v>
      </c>
    </row>
    <row r="137" spans="1:11">
      <c r="A137" t="str">
        <f>IFERROR(INDEX(T項目!$A:$A,MATCH(アイテムビューア!$C137,T項目!$D:$D,0)),"")</f>
        <v/>
      </c>
      <c r="B137" t="str">
        <f>IFERROR(INDEX(S項目!$B:$B,MATCH(アイテムビューア!$A137,S項目!$A:$A,0)),"")</f>
        <v/>
      </c>
      <c r="C137" t="str">
        <f>IFERROR(INDEX(C項目!$A:$A,MATCH(アイテムビューア!$E137,C項目!$D:$D,0)),"")</f>
        <v/>
      </c>
      <c r="D137" t="str">
        <f>IFERROR(INDEX(T項目!$E:$E,MATCH(アイテムビューア!$C137,T項目!$D:$D,0)),"")</f>
        <v/>
      </c>
      <c r="E137" t="str">
        <f>アイテム項目!$A137</f>
        <v>T-0404</v>
      </c>
      <c r="F137" t="str">
        <f>IFERROR(INDEX(C項目!$E:$E,MATCH(アイテムビューア!$E137,C項目!$D:$D,0)),"")</f>
        <v/>
      </c>
      <c r="G137" t="str">
        <f>アイテム項目!$E137</f>
        <v>I-00134</v>
      </c>
      <c r="H137" t="str">
        <f>アイテム項目!$F137</f>
        <v>アクリルフォーム両面テープ（自動車用）</v>
      </c>
      <c r="I137" t="str">
        <f>アイテム項目!$G137</f>
        <v>テープ</v>
      </c>
      <c r="J137" t="str">
        <f>アイテム項目!$H137</f>
        <v>B</v>
      </c>
      <c r="K137">
        <f>アイテム項目!$I137</f>
        <v>0</v>
      </c>
    </row>
    <row r="138" spans="1:11">
      <c r="A138" t="str">
        <f>IFERROR(INDEX(T項目!$A:$A,MATCH(アイテムビューア!$C138,T項目!$D:$D,0)),"")</f>
        <v/>
      </c>
      <c r="B138" t="str">
        <f>IFERROR(INDEX(S項目!$B:$B,MATCH(アイテムビューア!$A138,S項目!$A:$A,0)),"")</f>
        <v/>
      </c>
      <c r="C138" t="str">
        <f>IFERROR(INDEX(C項目!$A:$A,MATCH(アイテムビューア!$E138,C項目!$D:$D,0)),"")</f>
        <v/>
      </c>
      <c r="D138" t="str">
        <f>IFERROR(INDEX(T項目!$E:$E,MATCH(アイテムビューア!$C138,T項目!$D:$D,0)),"")</f>
        <v/>
      </c>
      <c r="E138" t="str">
        <f>アイテム項目!$A138</f>
        <v>T-0404</v>
      </c>
      <c r="F138" t="str">
        <f>IFERROR(INDEX(C項目!$E:$E,MATCH(アイテムビューア!$E138,C項目!$D:$D,0)),"")</f>
        <v/>
      </c>
      <c r="G138" t="str">
        <f>アイテム項目!$E138</f>
        <v>I-00135</v>
      </c>
      <c r="H138" t="str">
        <f>アイテム項目!$F138</f>
        <v>融着テープ</v>
      </c>
      <c r="I138" t="str">
        <f>アイテム項目!$G138</f>
        <v>テープ</v>
      </c>
      <c r="J138" t="str">
        <f>アイテム項目!$H138</f>
        <v>B</v>
      </c>
      <c r="K138">
        <f>アイテム項目!$I138</f>
        <v>0</v>
      </c>
    </row>
    <row r="139" spans="1:11">
      <c r="A139" t="str">
        <f>IFERROR(INDEX(T項目!$A:$A,MATCH(アイテムビューア!$C139,T項目!$D:$D,0)),"")</f>
        <v/>
      </c>
      <c r="B139" t="str">
        <f>IFERROR(INDEX(S項目!$B:$B,MATCH(アイテムビューア!$A139,S項目!$A:$A,0)),"")</f>
        <v/>
      </c>
      <c r="C139" t="str">
        <f>IFERROR(INDEX(C項目!$A:$A,MATCH(アイテムビューア!$E139,C項目!$D:$D,0)),"")</f>
        <v/>
      </c>
      <c r="D139" t="str">
        <f>IFERROR(INDEX(T項目!$E:$E,MATCH(アイテムビューア!$C139,T項目!$D:$D,0)),"")</f>
        <v/>
      </c>
      <c r="E139" t="str">
        <f>アイテム項目!$A139</f>
        <v>T-0404</v>
      </c>
      <c r="F139" t="str">
        <f>IFERROR(INDEX(C項目!$E:$E,MATCH(アイテムビューア!$E139,C項目!$D:$D,0)),"")</f>
        <v/>
      </c>
      <c r="G139" t="str">
        <f>アイテム項目!$E139</f>
        <v>I-00136</v>
      </c>
      <c r="H139" t="str">
        <f>アイテム項目!$F139</f>
        <v>黒ビニールテープ（黄色紙）</v>
      </c>
      <c r="I139" t="str">
        <f>アイテム項目!$G139</f>
        <v>テープ</v>
      </c>
      <c r="J139" t="str">
        <f>アイテム項目!$H139</f>
        <v>B</v>
      </c>
      <c r="K139">
        <f>アイテム項目!$I139</f>
        <v>0</v>
      </c>
    </row>
    <row r="140" spans="1:11">
      <c r="A140" t="str">
        <f>IFERROR(INDEX(T項目!$A:$A,MATCH(アイテムビューア!$C140,T項目!$D:$D,0)),"")</f>
        <v/>
      </c>
      <c r="B140" t="str">
        <f>IFERROR(INDEX(S項目!$B:$B,MATCH(アイテムビューア!$A140,S項目!$A:$A,0)),"")</f>
        <v/>
      </c>
      <c r="C140" t="str">
        <f>IFERROR(INDEX(C項目!$A:$A,MATCH(アイテムビューア!$E140,C項目!$D:$D,0)),"")</f>
        <v/>
      </c>
      <c r="D140" t="str">
        <f>IFERROR(INDEX(T項目!$E:$E,MATCH(アイテムビューア!$C140,T項目!$D:$D,0)),"")</f>
        <v/>
      </c>
      <c r="E140" t="str">
        <f>アイテム項目!$A140</f>
        <v>T-0404</v>
      </c>
      <c r="F140" t="str">
        <f>IFERROR(INDEX(C項目!$E:$E,MATCH(アイテムビューア!$E140,C項目!$D:$D,0)),"")</f>
        <v/>
      </c>
      <c r="G140" t="str">
        <f>アイテム項目!$E140</f>
        <v>I-00137</v>
      </c>
      <c r="H140" t="str">
        <f>アイテム項目!$F140</f>
        <v>茶色布テープ</v>
      </c>
      <c r="I140" t="str">
        <f>アイテム項目!$G140</f>
        <v>テープ</v>
      </c>
      <c r="J140" t="str">
        <f>アイテム項目!$H140</f>
        <v>B</v>
      </c>
      <c r="K140">
        <f>アイテム項目!$I140</f>
        <v>0</v>
      </c>
    </row>
    <row r="141" spans="1:11">
      <c r="A141" t="str">
        <f>IFERROR(INDEX(T項目!$A:$A,MATCH(アイテムビューア!$C141,T項目!$D:$D,0)),"")</f>
        <v/>
      </c>
      <c r="B141" t="str">
        <f>IFERROR(INDEX(S項目!$B:$B,MATCH(アイテムビューア!$A141,S項目!$A:$A,0)),"")</f>
        <v/>
      </c>
      <c r="C141" t="str">
        <f>IFERROR(INDEX(C項目!$A:$A,MATCH(アイテムビューア!$E141,C項目!$D:$D,0)),"")</f>
        <v/>
      </c>
      <c r="D141" t="str">
        <f>IFERROR(INDEX(T項目!$E:$E,MATCH(アイテムビューア!$C141,T項目!$D:$D,0)),"")</f>
        <v/>
      </c>
      <c r="E141" t="str">
        <f>アイテム項目!$A141</f>
        <v>T-0404</v>
      </c>
      <c r="F141" t="str">
        <f>IFERROR(INDEX(C項目!$E:$E,MATCH(アイテムビューア!$E141,C項目!$D:$D,0)),"")</f>
        <v/>
      </c>
      <c r="G141" t="str">
        <f>アイテム項目!$E141</f>
        <v>I-00138</v>
      </c>
      <c r="H141" t="str">
        <f>アイテム項目!$F141</f>
        <v>養生テープ（緑/白）</v>
      </c>
      <c r="I141" t="str">
        <f>アイテム項目!$G141</f>
        <v>テープ</v>
      </c>
      <c r="J141" t="str">
        <f>アイテム項目!$H141</f>
        <v>B</v>
      </c>
      <c r="K141">
        <f>アイテム項目!$I141</f>
        <v>0</v>
      </c>
    </row>
    <row r="142" spans="1:11">
      <c r="A142" t="str">
        <f>IFERROR(INDEX(T項目!$A:$A,MATCH(アイテムビューア!$C142,T項目!$D:$D,0)),"")</f>
        <v/>
      </c>
      <c r="B142" t="str">
        <f>IFERROR(INDEX(S項目!$B:$B,MATCH(アイテムビューア!$A142,S項目!$A:$A,0)),"")</f>
        <v/>
      </c>
      <c r="C142" t="str">
        <f>IFERROR(INDEX(C項目!$A:$A,MATCH(アイテムビューア!$E142,C項目!$D:$D,0)),"")</f>
        <v/>
      </c>
      <c r="D142" t="str">
        <f>IFERROR(INDEX(T項目!$E:$E,MATCH(アイテムビューア!$C142,T項目!$D:$D,0)),"")</f>
        <v/>
      </c>
      <c r="E142" t="str">
        <f>アイテム項目!$A142</f>
        <v>T-0404</v>
      </c>
      <c r="F142" t="str">
        <f>IFERROR(INDEX(C項目!$E:$E,MATCH(アイテムビューア!$E142,C項目!$D:$D,0)),"")</f>
        <v/>
      </c>
      <c r="G142" t="str">
        <f>アイテム項目!$E142</f>
        <v>I-00139</v>
      </c>
      <c r="H142" t="str">
        <f>アイテム項目!$F142</f>
        <v>YAMORI GRIP粘着ゲルテープ</v>
      </c>
      <c r="I142" t="str">
        <f>アイテム項目!$G142</f>
        <v>テープ</v>
      </c>
      <c r="J142" t="str">
        <f>アイテム項目!$H142</f>
        <v>B</v>
      </c>
      <c r="K142">
        <f>アイテム項目!$I142</f>
        <v>0</v>
      </c>
    </row>
    <row r="143" spans="1:11">
      <c r="A143" t="str">
        <f>IFERROR(INDEX(T項目!$A:$A,MATCH(アイテムビューア!$C143,T項目!$D:$D,0)),"")</f>
        <v/>
      </c>
      <c r="B143" t="str">
        <f>IFERROR(INDEX(S項目!$B:$B,MATCH(アイテムビューア!$A143,S項目!$A:$A,0)),"")</f>
        <v/>
      </c>
      <c r="C143" t="str">
        <f>IFERROR(INDEX(C項目!$A:$A,MATCH(アイテムビューア!$E143,C項目!$D:$D,0)),"")</f>
        <v/>
      </c>
      <c r="D143" t="str">
        <f>IFERROR(INDEX(T項目!$E:$E,MATCH(アイテムビューア!$C143,T項目!$D:$D,0)),"")</f>
        <v/>
      </c>
      <c r="E143" t="str">
        <f>アイテム項目!$A143</f>
        <v>T-0404</v>
      </c>
      <c r="F143" t="str">
        <f>IFERROR(INDEX(C項目!$E:$E,MATCH(アイテムビューア!$E143,C項目!$D:$D,0)),"")</f>
        <v/>
      </c>
      <c r="G143" t="str">
        <f>アイテム項目!$E143</f>
        <v>I-00140</v>
      </c>
      <c r="H143" t="str">
        <f>アイテム項目!$F143</f>
        <v>面ファスナー装着テープ</v>
      </c>
      <c r="I143" t="str">
        <f>アイテム項目!$G143</f>
        <v>テープ</v>
      </c>
      <c r="J143" t="str">
        <f>アイテム項目!$H143</f>
        <v>B</v>
      </c>
      <c r="K143">
        <f>アイテム項目!$I143</f>
        <v>0</v>
      </c>
    </row>
    <row r="144" spans="1:11">
      <c r="A144" t="str">
        <f>IFERROR(INDEX(T項目!$A:$A,MATCH(アイテムビューア!$C144,T項目!$D:$D,0)),"")</f>
        <v/>
      </c>
      <c r="B144" t="str">
        <f>IFERROR(INDEX(S項目!$B:$B,MATCH(アイテムビューア!$A144,S項目!$A:$A,0)),"")</f>
        <v/>
      </c>
      <c r="C144" t="str">
        <f>IFERROR(INDEX(C項目!$A:$A,MATCH(アイテムビューア!$E144,C項目!$D:$D,0)),"")</f>
        <v/>
      </c>
      <c r="D144" t="str">
        <f>IFERROR(INDEX(T項目!$E:$E,MATCH(アイテムビューア!$C144,T項目!$D:$D,0)),"")</f>
        <v/>
      </c>
      <c r="E144" t="str">
        <f>アイテム項目!$A144</f>
        <v>T-0404</v>
      </c>
      <c r="F144" t="str">
        <f>IFERROR(INDEX(C項目!$E:$E,MATCH(アイテムビューア!$E144,C項目!$D:$D,0)),"")</f>
        <v/>
      </c>
      <c r="G144" t="str">
        <f>アイテム項目!$E144</f>
        <v>I-00141</v>
      </c>
      <c r="H144" t="str">
        <f>アイテム項目!$F144</f>
        <v>平型ヒューズセット</v>
      </c>
      <c r="I144" t="str">
        <f>アイテム項目!$G144</f>
        <v>電材</v>
      </c>
      <c r="J144" t="str">
        <f>アイテム項目!$H144</f>
        <v>B</v>
      </c>
      <c r="K144">
        <f>アイテム項目!$I144</f>
        <v>0</v>
      </c>
    </row>
    <row r="145" spans="1:11">
      <c r="A145" t="str">
        <f>IFERROR(INDEX(T項目!$A:$A,MATCH(アイテムビューア!$C145,T項目!$D:$D,0)),"")</f>
        <v/>
      </c>
      <c r="B145" t="str">
        <f>IFERROR(INDEX(S項目!$B:$B,MATCH(アイテムビューア!$A145,S項目!$A:$A,0)),"")</f>
        <v/>
      </c>
      <c r="C145" t="str">
        <f>IFERROR(INDEX(C項目!$A:$A,MATCH(アイテムビューア!$E145,C項目!$D:$D,0)),"")</f>
        <v/>
      </c>
      <c r="D145" t="str">
        <f>IFERROR(INDEX(T項目!$E:$E,MATCH(アイテムビューア!$C145,T項目!$D:$D,0)),"")</f>
        <v/>
      </c>
      <c r="E145" t="str">
        <f>アイテム項目!$A145</f>
        <v>T-0404</v>
      </c>
      <c r="F145" t="str">
        <f>IFERROR(INDEX(C項目!$E:$E,MATCH(アイテムビューア!$E145,C項目!$D:$D,0)),"")</f>
        <v/>
      </c>
      <c r="G145" t="str">
        <f>アイテム項目!$E145</f>
        <v>I-00142</v>
      </c>
      <c r="H145" t="str">
        <f>アイテム項目!$F145</f>
        <v>手箒</v>
      </c>
      <c r="I145" t="str">
        <f>アイテム項目!$G145</f>
        <v>工具</v>
      </c>
      <c r="J145" t="str">
        <f>アイテム項目!$H145</f>
        <v>B</v>
      </c>
      <c r="K145">
        <f>アイテム項目!$I145</f>
        <v>0</v>
      </c>
    </row>
    <row r="146" spans="1:11">
      <c r="A146" t="str">
        <f>IFERROR(INDEX(T項目!$A:$A,MATCH(アイテムビューア!$C146,T項目!$D:$D,0)),"")</f>
        <v/>
      </c>
      <c r="B146" t="str">
        <f>IFERROR(INDEX(S項目!$B:$B,MATCH(アイテムビューア!$A146,S項目!$A:$A,0)),"")</f>
        <v/>
      </c>
      <c r="C146" t="str">
        <f>IFERROR(INDEX(C項目!$A:$A,MATCH(アイテムビューア!$E146,C項目!$D:$D,0)),"")</f>
        <v/>
      </c>
      <c r="D146" t="str">
        <f>IFERROR(INDEX(T項目!$E:$E,MATCH(アイテムビューア!$C146,T項目!$D:$D,0)),"")</f>
        <v/>
      </c>
      <c r="E146" t="str">
        <f>アイテム項目!$A146</f>
        <v>T-0404</v>
      </c>
      <c r="F146" t="str">
        <f>IFERROR(INDEX(C項目!$E:$E,MATCH(アイテムビューア!$E146,C項目!$D:$D,0)),"")</f>
        <v/>
      </c>
      <c r="G146" t="str">
        <f>アイテム項目!$E146</f>
        <v>I-00143</v>
      </c>
      <c r="H146" t="str">
        <f>アイテム項目!$F146</f>
        <v>刷毛70</v>
      </c>
      <c r="I146" t="str">
        <f>アイテム項目!$G146</f>
        <v>工具</v>
      </c>
      <c r="J146" t="str">
        <f>アイテム項目!$H146</f>
        <v>B</v>
      </c>
      <c r="K146">
        <f>アイテム項目!$I146</f>
        <v>0</v>
      </c>
    </row>
    <row r="147" spans="1:11">
      <c r="A147" t="str">
        <f>IFERROR(INDEX(T項目!$A:$A,MATCH(アイテムビューア!$C147,T項目!$D:$D,0)),"")</f>
        <v/>
      </c>
      <c r="B147" t="str">
        <f>IFERROR(INDEX(S項目!$B:$B,MATCH(アイテムビューア!$A147,S項目!$A:$A,0)),"")</f>
        <v/>
      </c>
      <c r="C147" t="str">
        <f>IFERROR(INDEX(C項目!$A:$A,MATCH(アイテムビューア!$E147,C項目!$D:$D,0)),"")</f>
        <v/>
      </c>
      <c r="D147" t="str">
        <f>IFERROR(INDEX(T項目!$E:$E,MATCH(アイテムビューア!$C147,T項目!$D:$D,0)),"")</f>
        <v/>
      </c>
      <c r="E147" t="str">
        <f>アイテム項目!$A147</f>
        <v>T-0404</v>
      </c>
      <c r="F147" t="str">
        <f>IFERROR(INDEX(C項目!$E:$E,MATCH(アイテムビューア!$E147,C項目!$D:$D,0)),"")</f>
        <v/>
      </c>
      <c r="G147" t="str">
        <f>アイテム項目!$E147</f>
        <v>I-00144</v>
      </c>
      <c r="H147" t="str">
        <f>アイテム項目!$F147</f>
        <v>刷毛30</v>
      </c>
      <c r="I147" t="str">
        <f>アイテム項目!$G147</f>
        <v>工具</v>
      </c>
      <c r="J147" t="str">
        <f>アイテム項目!$H147</f>
        <v>B</v>
      </c>
      <c r="K147">
        <f>アイテム項目!$I147</f>
        <v>0</v>
      </c>
    </row>
    <row r="148" spans="1:11">
      <c r="A148" t="str">
        <f>IFERROR(INDEX(T項目!$A:$A,MATCH(アイテムビューア!$C148,T項目!$D:$D,0)),"")</f>
        <v/>
      </c>
      <c r="B148" t="str">
        <f>IFERROR(INDEX(S項目!$B:$B,MATCH(アイテムビューア!$A148,S項目!$A:$A,0)),"")</f>
        <v/>
      </c>
      <c r="C148" t="str">
        <f>IFERROR(INDEX(C項目!$A:$A,MATCH(アイテムビューア!$E148,C項目!$D:$D,0)),"")</f>
        <v/>
      </c>
      <c r="D148" t="str">
        <f>IFERROR(INDEX(T項目!$E:$E,MATCH(アイテムビューア!$C148,T項目!$D:$D,0)),"")</f>
        <v/>
      </c>
      <c r="E148" t="str">
        <f>アイテム項目!$A148</f>
        <v>T-0404</v>
      </c>
      <c r="F148" t="str">
        <f>IFERROR(INDEX(C項目!$E:$E,MATCH(アイテムビューア!$E148,C項目!$D:$D,0)),"")</f>
        <v/>
      </c>
      <c r="G148" t="str">
        <f>アイテム項目!$E148</f>
        <v>I-00145</v>
      </c>
      <c r="H148" t="str">
        <f>アイテム項目!$F148</f>
        <v>結束バンド（袋入り）</v>
      </c>
      <c r="I148" t="str">
        <f>アイテム項目!$G148</f>
        <v>電材</v>
      </c>
      <c r="J148" t="str">
        <f>アイテム項目!$H148</f>
        <v>B</v>
      </c>
      <c r="K148">
        <f>アイテム項目!$I148</f>
        <v>0</v>
      </c>
    </row>
    <row r="149" spans="1:11">
      <c r="A149" t="str">
        <f>IFERROR(INDEX(T項目!$A:$A,MATCH(アイテムビューア!$C149,T項目!$D:$D,0)),"")</f>
        <v/>
      </c>
      <c r="B149" t="str">
        <f>IFERROR(INDEX(S項目!$B:$B,MATCH(アイテムビューア!$A149,S項目!$A:$A,0)),"")</f>
        <v/>
      </c>
      <c r="C149" t="str">
        <f>IFERROR(INDEX(C項目!$A:$A,MATCH(アイテムビューア!$E149,C項目!$D:$D,0)),"")</f>
        <v/>
      </c>
      <c r="D149" t="str">
        <f>IFERROR(INDEX(T項目!$E:$E,MATCH(アイテムビューア!$C149,T項目!$D:$D,0)),"")</f>
        <v/>
      </c>
      <c r="E149">
        <f>アイテム項目!$A149</f>
        <v>0</v>
      </c>
      <c r="F149" t="str">
        <f>IFERROR(INDEX(C項目!$E:$E,MATCH(アイテムビューア!$E149,C項目!$D:$D,0)),"")</f>
        <v/>
      </c>
      <c r="G149">
        <f>アイテム項目!$E149</f>
        <v>0</v>
      </c>
      <c r="H149">
        <f>アイテム項目!$F149</f>
        <v>0</v>
      </c>
      <c r="I149">
        <f>アイテム項目!$G149</f>
        <v>0</v>
      </c>
      <c r="J149">
        <f>アイテム項目!$H149</f>
        <v>0</v>
      </c>
      <c r="K149">
        <f>アイテム項目!$I149</f>
        <v>0</v>
      </c>
    </row>
    <row r="150" spans="1:11">
      <c r="A150" t="str">
        <f>IFERROR(INDEX(T項目!$A:$A,MATCH(アイテムビューア!$C150,T項目!$D:$D,0)),"")</f>
        <v/>
      </c>
      <c r="B150" t="str">
        <f>IFERROR(INDEX(S項目!$B:$B,MATCH(アイテムビューア!$A150,S項目!$A:$A,0)),"")</f>
        <v/>
      </c>
      <c r="C150" t="str">
        <f>IFERROR(INDEX(C項目!$A:$A,MATCH(アイテムビューア!$E150,C項目!$D:$D,0)),"")</f>
        <v/>
      </c>
      <c r="D150" t="str">
        <f>IFERROR(INDEX(T項目!$E:$E,MATCH(アイテムビューア!$C150,T項目!$D:$D,0)),"")</f>
        <v/>
      </c>
      <c r="E150" t="str">
        <f>アイテム項目!$A150</f>
        <v>T-0406</v>
      </c>
      <c r="F150" t="str">
        <f>IFERROR(INDEX(C項目!$E:$E,MATCH(アイテムビューア!$E150,C項目!$D:$D,0)),"")</f>
        <v/>
      </c>
      <c r="G150" t="str">
        <f>アイテム項目!$E150</f>
        <v>I-00146</v>
      </c>
      <c r="H150" t="str">
        <f>アイテム項目!$F150</f>
        <v>マイナスドライバー（黄黒）</v>
      </c>
      <c r="I150" t="str">
        <f>アイテム項目!$G150</f>
        <v>工具</v>
      </c>
      <c r="J150" t="str">
        <f>アイテム項目!$H150</f>
        <v>B</v>
      </c>
      <c r="K150">
        <f>アイテム項目!$I150</f>
        <v>0</v>
      </c>
    </row>
    <row r="151" spans="1:11">
      <c r="A151" t="str">
        <f>IFERROR(INDEX(T項目!$A:$A,MATCH(アイテムビューア!$C151,T項目!$D:$D,0)),"")</f>
        <v/>
      </c>
      <c r="B151" t="str">
        <f>IFERROR(INDEX(S項目!$B:$B,MATCH(アイテムビューア!$A151,S項目!$A:$A,0)),"")</f>
        <v/>
      </c>
      <c r="C151" t="str">
        <f>IFERROR(INDEX(C項目!$A:$A,MATCH(アイテムビューア!$E151,C項目!$D:$D,0)),"")</f>
        <v/>
      </c>
      <c r="D151" t="str">
        <f>IFERROR(INDEX(T項目!$E:$E,MATCH(アイテムビューア!$C151,T項目!$D:$D,0)),"")</f>
        <v/>
      </c>
      <c r="E151" t="str">
        <f>アイテム項目!$A151</f>
        <v>T-0406</v>
      </c>
      <c r="F151" t="str">
        <f>IFERROR(INDEX(C項目!$E:$E,MATCH(アイテムビューア!$E151,C項目!$D:$D,0)),"")</f>
        <v/>
      </c>
      <c r="G151" t="str">
        <f>アイテム項目!$E151</f>
        <v>I-00147</v>
      </c>
      <c r="H151" t="str">
        <f>アイテム項目!$F151</f>
        <v>マイナスドライバー（黒赤・長軸）</v>
      </c>
      <c r="I151" t="str">
        <f>アイテム項目!$G151</f>
        <v>工具</v>
      </c>
      <c r="J151" t="str">
        <f>アイテム項目!$H151</f>
        <v>B</v>
      </c>
      <c r="K151">
        <f>アイテム項目!$I151</f>
        <v>0</v>
      </c>
    </row>
    <row r="152" spans="1:11">
      <c r="A152" t="str">
        <f>IFERROR(INDEX(T項目!$A:$A,MATCH(アイテムビューア!$C152,T項目!$D:$D,0)),"")</f>
        <v/>
      </c>
      <c r="B152" t="str">
        <f>IFERROR(INDEX(S項目!$B:$B,MATCH(アイテムビューア!$A152,S項目!$A:$A,0)),"")</f>
        <v/>
      </c>
      <c r="C152" t="str">
        <f>IFERROR(INDEX(C項目!$A:$A,MATCH(アイテムビューア!$E152,C項目!$D:$D,0)),"")</f>
        <v/>
      </c>
      <c r="D152" t="str">
        <f>IFERROR(INDEX(T項目!$E:$E,MATCH(アイテムビューア!$C152,T項目!$D:$D,0)),"")</f>
        <v/>
      </c>
      <c r="E152" t="str">
        <f>アイテム項目!$A152</f>
        <v>T-0406</v>
      </c>
      <c r="F152" t="str">
        <f>IFERROR(INDEX(C項目!$E:$E,MATCH(アイテムビューア!$E152,C項目!$D:$D,0)),"")</f>
        <v/>
      </c>
      <c r="G152" t="str">
        <f>アイテム項目!$E152</f>
        <v>I-00148</v>
      </c>
      <c r="H152" t="str">
        <f>アイテム項目!$F152</f>
        <v>ドライバー（赤黒・1）</v>
      </c>
      <c r="I152" t="str">
        <f>アイテム項目!$G152</f>
        <v>工具</v>
      </c>
      <c r="J152" t="str">
        <f>アイテム項目!$H152</f>
        <v>B</v>
      </c>
      <c r="K152">
        <f>アイテム項目!$I152</f>
        <v>0</v>
      </c>
    </row>
    <row r="153" spans="1:11">
      <c r="A153" t="str">
        <f>IFERROR(INDEX(T項目!$A:$A,MATCH(アイテムビューア!$C153,T項目!$D:$D,0)),"")</f>
        <v/>
      </c>
      <c r="B153" t="str">
        <f>IFERROR(INDEX(S項目!$B:$B,MATCH(アイテムビューア!$A153,S項目!$A:$A,0)),"")</f>
        <v/>
      </c>
      <c r="C153" t="str">
        <f>IFERROR(INDEX(C項目!$A:$A,MATCH(アイテムビューア!$E153,C項目!$D:$D,0)),"")</f>
        <v/>
      </c>
      <c r="D153" t="str">
        <f>IFERROR(INDEX(T項目!$E:$E,MATCH(アイテムビューア!$C153,T項目!$D:$D,0)),"")</f>
        <v/>
      </c>
      <c r="E153" t="str">
        <f>アイテム項目!$A153</f>
        <v>T-0406</v>
      </c>
      <c r="F153" t="str">
        <f>IFERROR(INDEX(C項目!$E:$E,MATCH(アイテムビューア!$E153,C項目!$D:$D,0)),"")</f>
        <v/>
      </c>
      <c r="G153" t="str">
        <f>アイテム項目!$E153</f>
        <v>I-00149</v>
      </c>
      <c r="H153" t="str">
        <f>アイテム項目!$F153</f>
        <v>ドライバー（赤黒・2）</v>
      </c>
      <c r="I153" t="str">
        <f>アイテム項目!$G153</f>
        <v>工具</v>
      </c>
      <c r="J153" t="str">
        <f>アイテム項目!$H153</f>
        <v>B</v>
      </c>
      <c r="K153">
        <f>アイテム項目!$I153</f>
        <v>0</v>
      </c>
    </row>
    <row r="154" spans="1:11">
      <c r="A154" t="str">
        <f>IFERROR(INDEX(T項目!$A:$A,MATCH(アイテムビューア!$C154,T項目!$D:$D,0)),"")</f>
        <v/>
      </c>
      <c r="B154" t="str">
        <f>IFERROR(INDEX(S項目!$B:$B,MATCH(アイテムビューア!$A154,S項目!$A:$A,0)),"")</f>
        <v/>
      </c>
      <c r="C154" t="str">
        <f>IFERROR(INDEX(C項目!$A:$A,MATCH(アイテムビューア!$E154,C項目!$D:$D,0)),"")</f>
        <v/>
      </c>
      <c r="D154" t="str">
        <f>IFERROR(INDEX(T項目!$E:$E,MATCH(アイテムビューア!$C154,T項目!$D:$D,0)),"")</f>
        <v/>
      </c>
      <c r="E154" t="str">
        <f>アイテム項目!$A154</f>
        <v>T-0406</v>
      </c>
      <c r="F154" t="str">
        <f>IFERROR(INDEX(C項目!$E:$E,MATCH(アイテムビューア!$E154,C項目!$D:$D,0)),"")</f>
        <v/>
      </c>
      <c r="G154" t="str">
        <f>アイテム項目!$E154</f>
        <v>I-00150</v>
      </c>
      <c r="H154" t="str">
        <f>アイテム項目!$F154</f>
        <v>ドライバー（赤黒・3）</v>
      </c>
      <c r="I154" t="str">
        <f>アイテム項目!$G154</f>
        <v>工具</v>
      </c>
      <c r="J154" t="str">
        <f>アイテム項目!$H154</f>
        <v>B</v>
      </c>
      <c r="K154">
        <f>アイテム項目!$I154</f>
        <v>0</v>
      </c>
    </row>
    <row r="155" spans="1:11">
      <c r="A155" t="str">
        <f>IFERROR(INDEX(T項目!$A:$A,MATCH(アイテムビューア!$C155,T項目!$D:$D,0)),"")</f>
        <v/>
      </c>
      <c r="B155" t="str">
        <f>IFERROR(INDEX(S項目!$B:$B,MATCH(アイテムビューア!$A155,S項目!$A:$A,0)),"")</f>
        <v/>
      </c>
      <c r="C155" t="str">
        <f>IFERROR(INDEX(C項目!$A:$A,MATCH(アイテムビューア!$E155,C項目!$D:$D,0)),"")</f>
        <v/>
      </c>
      <c r="D155" t="str">
        <f>IFERROR(INDEX(T項目!$E:$E,MATCH(アイテムビューア!$C155,T項目!$D:$D,0)),"")</f>
        <v/>
      </c>
      <c r="E155" t="str">
        <f>アイテム項目!$A155</f>
        <v>T-0406</v>
      </c>
      <c r="F155" t="str">
        <f>IFERROR(INDEX(C項目!$E:$E,MATCH(アイテムビューア!$E155,C項目!$D:$D,0)),"")</f>
        <v/>
      </c>
      <c r="G155" t="str">
        <f>アイテム項目!$E155</f>
        <v>I-00151</v>
      </c>
      <c r="H155" t="str">
        <f>アイテム項目!$F155</f>
        <v>大型マイナスドライバー（木柄）</v>
      </c>
      <c r="I155" t="str">
        <f>アイテム項目!$G155</f>
        <v>工具</v>
      </c>
      <c r="J155" t="str">
        <f>アイテム項目!$H155</f>
        <v>B</v>
      </c>
      <c r="K155">
        <f>アイテム項目!$I155</f>
        <v>0</v>
      </c>
    </row>
    <row r="156" spans="1:11">
      <c r="A156" t="str">
        <f>IFERROR(INDEX(T項目!$A:$A,MATCH(アイテムビューア!$C156,T項目!$D:$D,0)),"")</f>
        <v/>
      </c>
      <c r="B156" t="str">
        <f>IFERROR(INDEX(S項目!$B:$B,MATCH(アイテムビューア!$A156,S項目!$A:$A,0)),"")</f>
        <v/>
      </c>
      <c r="C156" t="str">
        <f>IFERROR(INDEX(C項目!$A:$A,MATCH(アイテムビューア!$E156,C項目!$D:$D,0)),"")</f>
        <v/>
      </c>
      <c r="D156" t="str">
        <f>IFERROR(INDEX(T項目!$E:$E,MATCH(アイテムビューア!$C156,T項目!$D:$D,0)),"")</f>
        <v/>
      </c>
      <c r="E156" t="str">
        <f>アイテム項目!$A156</f>
        <v>T-0406</v>
      </c>
      <c r="F156" t="str">
        <f>IFERROR(INDEX(C項目!$E:$E,MATCH(アイテムビューア!$E156,C項目!$D:$D,0)),"")</f>
        <v/>
      </c>
      <c r="G156" t="str">
        <f>アイテム項目!$E156</f>
        <v>I-00152</v>
      </c>
      <c r="H156" t="str">
        <f>アイテム項目!$F156</f>
        <v>ハサミ（黒大指穴）</v>
      </c>
      <c r="I156" t="str">
        <f>アイテム項目!$G156</f>
        <v>日用品</v>
      </c>
      <c r="J156" t="str">
        <f>アイテム項目!$H156</f>
        <v>B</v>
      </c>
      <c r="K156">
        <f>アイテム項目!$I156</f>
        <v>0</v>
      </c>
    </row>
    <row r="157" spans="1:11">
      <c r="A157" t="str">
        <f>IFERROR(INDEX(T項目!$A:$A,MATCH(アイテムビューア!$C157,T項目!$D:$D,0)),"")</f>
        <v/>
      </c>
      <c r="B157" t="str">
        <f>IFERROR(INDEX(S項目!$B:$B,MATCH(アイテムビューア!$A157,S項目!$A:$A,0)),"")</f>
        <v/>
      </c>
      <c r="C157" t="str">
        <f>IFERROR(INDEX(C項目!$A:$A,MATCH(アイテムビューア!$E157,C項目!$D:$D,0)),"")</f>
        <v/>
      </c>
      <c r="D157" t="str">
        <f>IFERROR(INDEX(T項目!$E:$E,MATCH(アイテムビューア!$C157,T項目!$D:$D,0)),"")</f>
        <v/>
      </c>
      <c r="E157" t="str">
        <f>アイテム項目!$A157</f>
        <v>T-0406</v>
      </c>
      <c r="F157" t="str">
        <f>IFERROR(INDEX(C項目!$E:$E,MATCH(アイテムビューア!$E157,C項目!$D:$D,0)),"")</f>
        <v/>
      </c>
      <c r="G157" t="str">
        <f>アイテム項目!$E157</f>
        <v>I-00153</v>
      </c>
      <c r="H157" t="str">
        <f>アイテム項目!$F157</f>
        <v>ハサミ（黒持ち手）</v>
      </c>
      <c r="I157" t="str">
        <f>アイテム項目!$G157</f>
        <v>日用品</v>
      </c>
      <c r="J157" t="str">
        <f>アイテム項目!$H157</f>
        <v>B</v>
      </c>
      <c r="K157">
        <f>アイテム項目!$I157</f>
        <v>0</v>
      </c>
    </row>
    <row r="158" spans="1:11">
      <c r="A158" t="str">
        <f>IFERROR(INDEX(T項目!$A:$A,MATCH(アイテムビューア!$C158,T項目!$D:$D,0)),"")</f>
        <v/>
      </c>
      <c r="B158" t="str">
        <f>IFERROR(INDEX(S項目!$B:$B,MATCH(アイテムビューア!$A158,S項目!$A:$A,0)),"")</f>
        <v/>
      </c>
      <c r="C158" t="str">
        <f>IFERROR(INDEX(C項目!$A:$A,MATCH(アイテムビューア!$E158,C項目!$D:$D,0)),"")</f>
        <v/>
      </c>
      <c r="D158" t="str">
        <f>IFERROR(INDEX(T項目!$E:$E,MATCH(アイテムビューア!$C158,T項目!$D:$D,0)),"")</f>
        <v/>
      </c>
      <c r="E158" t="str">
        <f>アイテム項目!$A158</f>
        <v>T-0406</v>
      </c>
      <c r="F158" t="str">
        <f>IFERROR(INDEX(C項目!$E:$E,MATCH(アイテムビューア!$E158,C項目!$D:$D,0)),"")</f>
        <v/>
      </c>
      <c r="G158" t="str">
        <f>アイテム項目!$E158</f>
        <v>I-00154</v>
      </c>
      <c r="H158" t="str">
        <f>アイテム項目!$F158</f>
        <v>ロッキングプライヤー（銀）</v>
      </c>
      <c r="I158" t="str">
        <f>アイテム項目!$G158</f>
        <v>工具</v>
      </c>
      <c r="J158" t="str">
        <f>アイテム項目!$H158</f>
        <v>B</v>
      </c>
      <c r="K158">
        <f>アイテム項目!$I158</f>
        <v>0</v>
      </c>
    </row>
    <row r="159" spans="1:11">
      <c r="A159" t="str">
        <f>IFERROR(INDEX(T項目!$A:$A,MATCH(アイテムビューア!$C159,T項目!$D:$D,0)),"")</f>
        <v/>
      </c>
      <c r="B159" t="str">
        <f>IFERROR(INDEX(S項目!$B:$B,MATCH(アイテムビューア!$A159,S項目!$A:$A,0)),"")</f>
        <v/>
      </c>
      <c r="C159" t="str">
        <f>IFERROR(INDEX(C項目!$A:$A,MATCH(アイテムビューア!$E159,C項目!$D:$D,0)),"")</f>
        <v/>
      </c>
      <c r="D159" t="str">
        <f>IFERROR(INDEX(T項目!$E:$E,MATCH(アイテムビューア!$C159,T項目!$D:$D,0)),"")</f>
        <v/>
      </c>
      <c r="E159" t="str">
        <f>アイテム項目!$A159</f>
        <v>T-0406</v>
      </c>
      <c r="F159" t="str">
        <f>IFERROR(INDEX(C項目!$E:$E,MATCH(アイテムビューア!$E159,C項目!$D:$D,0)),"")</f>
        <v/>
      </c>
      <c r="G159" t="str">
        <f>アイテム項目!$E159</f>
        <v>I-00155</v>
      </c>
      <c r="H159" t="str">
        <f>アイテム項目!$F159</f>
        <v>ラジオペンチ（黒オレンジ）</v>
      </c>
      <c r="I159" t="str">
        <f>アイテム項目!$G159</f>
        <v>工具</v>
      </c>
      <c r="J159" t="str">
        <f>アイテム項目!$H159</f>
        <v>B</v>
      </c>
      <c r="K159">
        <f>アイテム項目!$I159</f>
        <v>0</v>
      </c>
    </row>
    <row r="160" spans="1:11">
      <c r="A160" t="str">
        <f>IFERROR(INDEX(T項目!$A:$A,MATCH(アイテムビューア!$C160,T項目!$D:$D,0)),"")</f>
        <v/>
      </c>
      <c r="B160" t="str">
        <f>IFERROR(INDEX(S項目!$B:$B,MATCH(アイテムビューア!$A160,S項目!$A:$A,0)),"")</f>
        <v/>
      </c>
      <c r="C160" t="str">
        <f>IFERROR(INDEX(C項目!$A:$A,MATCH(アイテムビューア!$E160,C項目!$D:$D,0)),"")</f>
        <v/>
      </c>
      <c r="D160" t="str">
        <f>IFERROR(INDEX(T項目!$E:$E,MATCH(アイテムビューア!$C160,T項目!$D:$D,0)),"")</f>
        <v/>
      </c>
      <c r="E160" t="str">
        <f>アイテム項目!$A160</f>
        <v>T-0406</v>
      </c>
      <c r="F160" t="str">
        <f>IFERROR(INDEX(C項目!$E:$E,MATCH(アイテムビューア!$E160,C項目!$D:$D,0)),"")</f>
        <v/>
      </c>
      <c r="G160" t="str">
        <f>アイテム項目!$E160</f>
        <v>I-00156</v>
      </c>
      <c r="H160" t="str">
        <f>アイテム項目!$F160</f>
        <v>ニッパー（オレンジ）</v>
      </c>
      <c r="I160" t="str">
        <f>アイテム項目!$G160</f>
        <v>工具</v>
      </c>
      <c r="J160" t="str">
        <f>アイテム項目!$H160</f>
        <v>B</v>
      </c>
      <c r="K160">
        <f>アイテム項目!$I160</f>
        <v>0</v>
      </c>
    </row>
    <row r="161" spans="1:11">
      <c r="A161" t="str">
        <f>IFERROR(INDEX(T項目!$A:$A,MATCH(アイテムビューア!$C161,T項目!$D:$D,0)),"")</f>
        <v/>
      </c>
      <c r="B161" t="str">
        <f>IFERROR(INDEX(S項目!$B:$B,MATCH(アイテムビューア!$A161,S項目!$A:$A,0)),"")</f>
        <v/>
      </c>
      <c r="C161" t="str">
        <f>IFERROR(INDEX(C項目!$A:$A,MATCH(アイテムビューア!$E161,C項目!$D:$D,0)),"")</f>
        <v/>
      </c>
      <c r="D161" t="str">
        <f>IFERROR(INDEX(T項目!$E:$E,MATCH(アイテムビューア!$C161,T項目!$D:$D,0)),"")</f>
        <v/>
      </c>
      <c r="E161" t="str">
        <f>アイテム項目!$A161</f>
        <v>T-0406</v>
      </c>
      <c r="F161" t="str">
        <f>IFERROR(INDEX(C項目!$E:$E,MATCH(アイテムビューア!$E161,C項目!$D:$D,0)),"")</f>
        <v/>
      </c>
      <c r="G161" t="str">
        <f>アイテム項目!$E161</f>
        <v>I-00157</v>
      </c>
      <c r="H161" t="str">
        <f>アイテム項目!$F161</f>
        <v>ニッパー（黄色）</v>
      </c>
      <c r="I161" t="str">
        <f>アイテム項目!$G161</f>
        <v>工具</v>
      </c>
      <c r="J161" t="str">
        <f>アイテム項目!$H161</f>
        <v>B</v>
      </c>
      <c r="K161">
        <f>アイテム項目!$I161</f>
        <v>0</v>
      </c>
    </row>
    <row r="162" spans="1:11">
      <c r="A162" t="str">
        <f>IFERROR(INDEX(T項目!$A:$A,MATCH(アイテムビューア!$C162,T項目!$D:$D,0)),"")</f>
        <v/>
      </c>
      <c r="B162" t="str">
        <f>IFERROR(INDEX(S項目!$B:$B,MATCH(アイテムビューア!$A162,S項目!$A:$A,0)),"")</f>
        <v/>
      </c>
      <c r="C162" t="str">
        <f>IFERROR(INDEX(C項目!$A:$A,MATCH(アイテムビューア!$E162,C項目!$D:$D,0)),"")</f>
        <v/>
      </c>
      <c r="D162" t="str">
        <f>IFERROR(INDEX(T項目!$E:$E,MATCH(アイテムビューア!$C162,T項目!$D:$D,0)),"")</f>
        <v/>
      </c>
      <c r="E162" t="str">
        <f>アイテム項目!$A162</f>
        <v>T-0406</v>
      </c>
      <c r="F162" t="str">
        <f>IFERROR(INDEX(C項目!$E:$E,MATCH(アイテムビューア!$E162,C項目!$D:$D,0)),"")</f>
        <v/>
      </c>
      <c r="G162" t="str">
        <f>アイテム項目!$E162</f>
        <v>I-00158</v>
      </c>
      <c r="H162" t="str">
        <f>アイテム項目!$F162</f>
        <v>小型ラジオペンチ（黒黄）</v>
      </c>
      <c r="I162" t="str">
        <f>アイテム項目!$G162</f>
        <v>工具</v>
      </c>
      <c r="J162" t="str">
        <f>アイテム項目!$H162</f>
        <v>B</v>
      </c>
      <c r="K162">
        <f>アイテム項目!$I162</f>
        <v>0</v>
      </c>
    </row>
    <row r="163" spans="1:11">
      <c r="A163" t="str">
        <f>IFERROR(INDEX(T項目!$A:$A,MATCH(アイテムビューア!$C163,T項目!$D:$D,0)),"")</f>
        <v/>
      </c>
      <c r="B163" t="str">
        <f>IFERROR(INDEX(S項目!$B:$B,MATCH(アイテムビューア!$A163,S項目!$A:$A,0)),"")</f>
        <v/>
      </c>
      <c r="C163" t="str">
        <f>IFERROR(INDEX(C項目!$A:$A,MATCH(アイテムビューア!$E163,C項目!$D:$D,0)),"")</f>
        <v/>
      </c>
      <c r="D163" t="str">
        <f>IFERROR(INDEX(T項目!$E:$E,MATCH(アイテムビューア!$C163,T項目!$D:$D,0)),"")</f>
        <v/>
      </c>
      <c r="E163" t="str">
        <f>アイテム項目!$A163</f>
        <v>T-0406</v>
      </c>
      <c r="F163" t="str">
        <f>IFERROR(INDEX(C項目!$E:$E,MATCH(アイテムビューア!$E163,C項目!$D:$D,0)),"")</f>
        <v/>
      </c>
      <c r="G163" t="str">
        <f>アイテム項目!$E163</f>
        <v>I-00159</v>
      </c>
      <c r="H163" t="str">
        <f>アイテム項目!$F163</f>
        <v>小型ニッパー（赤黒）</v>
      </c>
      <c r="I163" t="str">
        <f>アイテム項目!$G163</f>
        <v>工具</v>
      </c>
      <c r="J163" t="str">
        <f>アイテム項目!$H163</f>
        <v>B</v>
      </c>
      <c r="K163">
        <f>アイテム項目!$I163</f>
        <v>0</v>
      </c>
    </row>
    <row r="164" spans="1:11">
      <c r="A164" t="str">
        <f>IFERROR(INDEX(T項目!$A:$A,MATCH(アイテムビューア!$C164,T項目!$D:$D,0)),"")</f>
        <v/>
      </c>
      <c r="B164" t="str">
        <f>IFERROR(INDEX(S項目!$B:$B,MATCH(アイテムビューア!$A164,S項目!$A:$A,0)),"")</f>
        <v/>
      </c>
      <c r="C164" t="str">
        <f>IFERROR(INDEX(C項目!$A:$A,MATCH(アイテムビューア!$E164,C項目!$D:$D,0)),"")</f>
        <v/>
      </c>
      <c r="D164" t="str">
        <f>IFERROR(INDEX(T項目!$E:$E,MATCH(アイテムビューア!$C164,T項目!$D:$D,0)),"")</f>
        <v/>
      </c>
      <c r="E164" t="str">
        <f>アイテム項目!$A164</f>
        <v>T-0406</v>
      </c>
      <c r="F164" t="str">
        <f>IFERROR(INDEX(C項目!$E:$E,MATCH(アイテムビューア!$E164,C項目!$D:$D,0)),"")</f>
        <v/>
      </c>
      <c r="G164" t="str">
        <f>アイテム項目!$E164</f>
        <v>I-00160</v>
      </c>
      <c r="H164" t="str">
        <f>アイテム項目!$F164</f>
        <v>小型ラジオペンチ（緑黒）</v>
      </c>
      <c r="I164" t="str">
        <f>アイテム項目!$G164</f>
        <v>工具</v>
      </c>
      <c r="J164" t="str">
        <f>アイテム項目!$H164</f>
        <v>B</v>
      </c>
      <c r="K164">
        <f>アイテム項目!$I164</f>
        <v>0</v>
      </c>
    </row>
    <row r="165" spans="1:11">
      <c r="A165" t="str">
        <f>IFERROR(INDEX(T項目!$A:$A,MATCH(アイテムビューア!$C165,T項目!$D:$D,0)),"")</f>
        <v/>
      </c>
      <c r="B165" t="str">
        <f>IFERROR(INDEX(S項目!$B:$B,MATCH(アイテムビューア!$A165,S項目!$A:$A,0)),"")</f>
        <v/>
      </c>
      <c r="C165" t="str">
        <f>IFERROR(INDEX(C項目!$A:$A,MATCH(アイテムビューア!$E165,C項目!$D:$D,0)),"")</f>
        <v/>
      </c>
      <c r="D165" t="str">
        <f>IFERROR(INDEX(T項目!$E:$E,MATCH(アイテムビューア!$C165,T項目!$D:$D,0)),"")</f>
        <v/>
      </c>
      <c r="E165" t="str">
        <f>アイテム項目!$A165</f>
        <v>T-0406</v>
      </c>
      <c r="F165" t="str">
        <f>IFERROR(INDEX(C項目!$E:$E,MATCH(アイテムビューア!$E165,C項目!$D:$D,0)),"")</f>
        <v/>
      </c>
      <c r="G165" t="str">
        <f>アイテム項目!$E165</f>
        <v>I-00161</v>
      </c>
      <c r="H165" t="str">
        <f>アイテム項目!$F165</f>
        <v>小型ラジオペンチ（黒・バネ付き）</v>
      </c>
      <c r="I165" t="str">
        <f>アイテム項目!$G165</f>
        <v>工具</v>
      </c>
      <c r="J165" t="str">
        <f>アイテム項目!$H165</f>
        <v>B</v>
      </c>
      <c r="K165">
        <f>アイテム項目!$I165</f>
        <v>0</v>
      </c>
    </row>
    <row r="166" spans="1:11">
      <c r="A166" t="str">
        <f>IFERROR(INDEX(T項目!$A:$A,MATCH(アイテムビューア!$C166,T項目!$D:$D,0)),"")</f>
        <v/>
      </c>
      <c r="B166" t="str">
        <f>IFERROR(INDEX(S項目!$B:$B,MATCH(アイテムビューア!$A166,S項目!$A:$A,0)),"")</f>
        <v/>
      </c>
      <c r="C166" t="str">
        <f>IFERROR(INDEX(C項目!$A:$A,MATCH(アイテムビューア!$E166,C項目!$D:$D,0)),"")</f>
        <v/>
      </c>
      <c r="D166" t="str">
        <f>IFERROR(INDEX(T項目!$E:$E,MATCH(アイテムビューア!$C166,T項目!$D:$D,0)),"")</f>
        <v/>
      </c>
      <c r="E166" t="str">
        <f>アイテム項目!$A166</f>
        <v>T-0406</v>
      </c>
      <c r="F166" t="str">
        <f>IFERROR(INDEX(C項目!$E:$E,MATCH(アイテムビューア!$E166,C項目!$D:$D,0)),"")</f>
        <v/>
      </c>
      <c r="G166" t="str">
        <f>アイテム項目!$E166</f>
        <v>I-00162</v>
      </c>
      <c r="H166" t="str">
        <f>アイテム項目!$F166</f>
        <v>小型ラジオペンチ（青黒・バネ付き）</v>
      </c>
      <c r="I166" t="str">
        <f>アイテム項目!$G166</f>
        <v>工具</v>
      </c>
      <c r="J166" t="str">
        <f>アイテム項目!$H166</f>
        <v>B</v>
      </c>
      <c r="K166">
        <f>アイテム項目!$I166</f>
        <v>0</v>
      </c>
    </row>
    <row r="167" spans="1:11">
      <c r="A167" t="str">
        <f>IFERROR(INDEX(T項目!$A:$A,MATCH(アイテムビューア!$C167,T項目!$D:$D,0)),"")</f>
        <v/>
      </c>
      <c r="B167" t="str">
        <f>IFERROR(INDEX(S項目!$B:$B,MATCH(アイテムビューア!$A167,S項目!$A:$A,0)),"")</f>
        <v/>
      </c>
      <c r="C167" t="str">
        <f>IFERROR(INDEX(C項目!$A:$A,MATCH(アイテムビューア!$E167,C項目!$D:$D,0)),"")</f>
        <v/>
      </c>
      <c r="D167" t="str">
        <f>IFERROR(INDEX(T項目!$E:$E,MATCH(アイテムビューア!$C167,T項目!$D:$D,0)),"")</f>
        <v/>
      </c>
      <c r="E167" t="str">
        <f>アイテム項目!$A167</f>
        <v>T-0406</v>
      </c>
      <c r="F167" t="str">
        <f>IFERROR(INDEX(C項目!$E:$E,MATCH(アイテムビューア!$E167,C項目!$D:$D,0)),"")</f>
        <v/>
      </c>
      <c r="G167" t="str">
        <f>アイテム項目!$E167</f>
        <v>I-00163</v>
      </c>
      <c r="H167" t="str">
        <f>アイテム項目!$F167</f>
        <v>小型エンドニッパー（赤）</v>
      </c>
      <c r="I167" t="str">
        <f>アイテム項目!$G167</f>
        <v>工具</v>
      </c>
      <c r="J167" t="str">
        <f>アイテム項目!$H167</f>
        <v>B</v>
      </c>
      <c r="K167">
        <f>アイテム項目!$I167</f>
        <v>0</v>
      </c>
    </row>
    <row r="168" spans="1:11">
      <c r="A168" t="str">
        <f>IFERROR(INDEX(T項目!$A:$A,MATCH(アイテムビューア!$C168,T項目!$D:$D,0)),"")</f>
        <v/>
      </c>
      <c r="B168" t="str">
        <f>IFERROR(INDEX(S項目!$B:$B,MATCH(アイテムビューア!$A168,S項目!$A:$A,0)),"")</f>
        <v/>
      </c>
      <c r="C168" t="str">
        <f>IFERROR(INDEX(C項目!$A:$A,MATCH(アイテムビューア!$E168,C項目!$D:$D,0)),"")</f>
        <v/>
      </c>
      <c r="D168" t="str">
        <f>IFERROR(INDEX(T項目!$E:$E,MATCH(アイテムビューア!$C168,T項目!$D:$D,0)),"")</f>
        <v/>
      </c>
      <c r="E168" t="str">
        <f>アイテム項目!$A168</f>
        <v>T-0406</v>
      </c>
      <c r="F168" t="str">
        <f>IFERROR(INDEX(C項目!$E:$E,MATCH(アイテムビューア!$E168,C項目!$D:$D,0)),"")</f>
        <v/>
      </c>
      <c r="G168" t="str">
        <f>アイテム項目!$E168</f>
        <v>I-00164</v>
      </c>
      <c r="H168" t="str">
        <f>アイテム項目!$F168</f>
        <v>ラジオペンチ（青黄・細長）</v>
      </c>
      <c r="I168" t="str">
        <f>アイテム項目!$G168</f>
        <v>工具</v>
      </c>
      <c r="J168" t="str">
        <f>アイテム項目!$H168</f>
        <v>B</v>
      </c>
      <c r="K168">
        <f>アイテム項目!$I168</f>
        <v>0</v>
      </c>
    </row>
    <row r="169" spans="1:11">
      <c r="A169" t="str">
        <f>IFERROR(INDEX(T項目!$A:$A,MATCH(アイテムビューア!$C169,T項目!$D:$D,0)),"")</f>
        <v/>
      </c>
      <c r="B169" t="str">
        <f>IFERROR(INDEX(S項目!$B:$B,MATCH(アイテムビューア!$A169,S項目!$A:$A,0)),"")</f>
        <v/>
      </c>
      <c r="C169" t="str">
        <f>IFERROR(INDEX(C項目!$A:$A,MATCH(アイテムビューア!$E169,C項目!$D:$D,0)),"")</f>
        <v/>
      </c>
      <c r="D169" t="str">
        <f>IFERROR(INDEX(T項目!$E:$E,MATCH(アイテムビューア!$C169,T項目!$D:$D,0)),"")</f>
        <v/>
      </c>
      <c r="E169" t="str">
        <f>アイテム項目!$A169</f>
        <v>T-0406</v>
      </c>
      <c r="F169" t="str">
        <f>IFERROR(INDEX(C項目!$E:$E,MATCH(アイテムビューア!$E169,C項目!$D:$D,0)),"")</f>
        <v/>
      </c>
      <c r="G169" t="str">
        <f>アイテム項目!$E169</f>
        <v>I-00165</v>
      </c>
      <c r="H169" t="str">
        <f>アイテム項目!$F169</f>
        <v>ニッパー（グレーオレンジ）</v>
      </c>
      <c r="I169" t="str">
        <f>アイテム項目!$G169</f>
        <v>工具</v>
      </c>
      <c r="J169" t="str">
        <f>アイテム項目!$H169</f>
        <v>B</v>
      </c>
      <c r="K169">
        <f>アイテム項目!$I169</f>
        <v>0</v>
      </c>
    </row>
    <row r="170" spans="1:11">
      <c r="A170" t="str">
        <f>IFERROR(INDEX(T項目!$A:$A,MATCH(アイテムビューア!$C170,T項目!$D:$D,0)),"")</f>
        <v/>
      </c>
      <c r="B170" t="str">
        <f>IFERROR(INDEX(S項目!$B:$B,MATCH(アイテムビューア!$A170,S項目!$A:$A,0)),"")</f>
        <v/>
      </c>
      <c r="C170" t="str">
        <f>IFERROR(INDEX(C項目!$A:$A,MATCH(アイテムビューア!$E170,C項目!$D:$D,0)),"")</f>
        <v/>
      </c>
      <c r="D170" t="str">
        <f>IFERROR(INDEX(T項目!$E:$E,MATCH(アイテムビューア!$C170,T項目!$D:$D,0)),"")</f>
        <v/>
      </c>
      <c r="E170" t="str">
        <f>アイテム項目!$A170</f>
        <v>T-0406</v>
      </c>
      <c r="F170" t="str">
        <f>IFERROR(INDEX(C項目!$E:$E,MATCH(アイテムビューア!$E170,C項目!$D:$D,0)),"")</f>
        <v/>
      </c>
      <c r="G170" t="str">
        <f>アイテム項目!$E170</f>
        <v>I-00166</v>
      </c>
      <c r="H170" t="str">
        <f>アイテム項目!$F170</f>
        <v>ラジオペンチ（青黄・標準）</v>
      </c>
      <c r="I170" t="str">
        <f>アイテム項目!$G170</f>
        <v>工具</v>
      </c>
      <c r="J170" t="str">
        <f>アイテム項目!$H170</f>
        <v>B</v>
      </c>
      <c r="K170">
        <f>アイテム項目!$I170</f>
        <v>0</v>
      </c>
    </row>
    <row r="171" spans="1:11">
      <c r="A171" t="str">
        <f>IFERROR(INDEX(T項目!$A:$A,MATCH(アイテムビューア!$C171,T項目!$D:$D,0)),"")</f>
        <v/>
      </c>
      <c r="B171" t="str">
        <f>IFERROR(INDEX(S項目!$B:$B,MATCH(アイテムビューア!$A171,S項目!$A:$A,0)),"")</f>
        <v/>
      </c>
      <c r="C171" t="str">
        <f>IFERROR(INDEX(C項目!$A:$A,MATCH(アイテムビューア!$E171,C項目!$D:$D,0)),"")</f>
        <v/>
      </c>
      <c r="D171" t="str">
        <f>IFERROR(INDEX(T項目!$E:$E,MATCH(アイテムビューア!$C171,T項目!$D:$D,0)),"")</f>
        <v/>
      </c>
      <c r="E171" t="str">
        <f>アイテム項目!$A171</f>
        <v>T-0406</v>
      </c>
      <c r="F171" t="str">
        <f>IFERROR(INDEX(C項目!$E:$E,MATCH(アイテムビューア!$E171,C項目!$D:$D,0)),"")</f>
        <v/>
      </c>
      <c r="G171" t="str">
        <f>アイテム項目!$E171</f>
        <v>I-00167</v>
      </c>
      <c r="H171" t="str">
        <f>アイテム項目!$F171</f>
        <v>デジタルノギス</v>
      </c>
      <c r="I171" t="str">
        <f>アイテム項目!$G171</f>
        <v>計測器</v>
      </c>
      <c r="J171" t="str">
        <f>アイテム項目!$H171</f>
        <v>B</v>
      </c>
      <c r="K171">
        <f>アイテム項目!$I171</f>
        <v>0</v>
      </c>
    </row>
    <row r="172" spans="1:11">
      <c r="A172" t="str">
        <f>IFERROR(INDEX(T項目!$A:$A,MATCH(アイテムビューア!$C172,T項目!$D:$D,0)),"")</f>
        <v/>
      </c>
      <c r="B172" t="str">
        <f>IFERROR(INDEX(S項目!$B:$B,MATCH(アイテムビューア!$A172,S項目!$A:$A,0)),"")</f>
        <v/>
      </c>
      <c r="C172" t="str">
        <f>IFERROR(INDEX(C項目!$A:$A,MATCH(アイテムビューア!$E172,C項目!$D:$D,0)),"")</f>
        <v/>
      </c>
      <c r="D172" t="str">
        <f>IFERROR(INDEX(T項目!$E:$E,MATCH(アイテムビューア!$C172,T項目!$D:$D,0)),"")</f>
        <v/>
      </c>
      <c r="E172">
        <f>アイテム項目!$A172</f>
        <v>0</v>
      </c>
      <c r="F172" t="str">
        <f>IFERROR(INDEX(C項目!$E:$E,MATCH(アイテムビューア!$E172,C項目!$D:$D,0)),"")</f>
        <v/>
      </c>
      <c r="G172">
        <f>アイテム項目!$E172</f>
        <v>0</v>
      </c>
      <c r="H172">
        <f>アイテム項目!$F172</f>
        <v>0</v>
      </c>
      <c r="I172">
        <f>アイテム項目!$G172</f>
        <v>0</v>
      </c>
      <c r="J172">
        <f>アイテム項目!$H172</f>
        <v>0</v>
      </c>
      <c r="K172">
        <f>アイテム項目!$I172</f>
        <v>0</v>
      </c>
    </row>
    <row r="173" spans="1:11">
      <c r="A173" t="str">
        <f>IFERROR(INDEX(T項目!$A:$A,MATCH(アイテムビューア!$C173,T項目!$D:$D,0)),"")</f>
        <v/>
      </c>
      <c r="B173" t="str">
        <f>IFERROR(INDEX(S項目!$B:$B,MATCH(アイテムビューア!$A173,S項目!$A:$A,0)),"")</f>
        <v/>
      </c>
      <c r="C173" t="str">
        <f>IFERROR(INDEX(C項目!$A:$A,MATCH(アイテムビューア!$E173,C項目!$D:$D,0)),"")</f>
        <v/>
      </c>
      <c r="D173" t="str">
        <f>IFERROR(INDEX(T項目!$E:$E,MATCH(アイテムビューア!$C173,T項目!$D:$D,0)),"")</f>
        <v/>
      </c>
      <c r="E173" t="str">
        <f>アイテム項目!$A173</f>
        <v>T-0405</v>
      </c>
      <c r="F173" t="str">
        <f>IFERROR(INDEX(C項目!$E:$E,MATCH(アイテムビューア!$E173,C項目!$D:$D,0)),"")</f>
        <v/>
      </c>
      <c r="G173" t="str">
        <f>アイテム項目!$E173</f>
        <v>I-00168</v>
      </c>
      <c r="H173" t="str">
        <f>アイテム項目!$F173</f>
        <v>IPA 100% イソプロピルアルコール 1L</v>
      </c>
      <c r="I173" t="str">
        <f>アイテム項目!$G173</f>
        <v>液体</v>
      </c>
      <c r="J173" t="str">
        <f>アイテム項目!$H173</f>
        <v>B</v>
      </c>
      <c r="K173">
        <f>アイテム項目!$I173</f>
        <v>0</v>
      </c>
    </row>
    <row r="174" spans="1:11">
      <c r="A174" t="str">
        <f>IFERROR(INDEX(T項目!$A:$A,MATCH(アイテムビューア!$C174,T項目!$D:$D,0)),"")</f>
        <v/>
      </c>
      <c r="B174" t="str">
        <f>IFERROR(INDEX(S項目!$B:$B,MATCH(アイテムビューア!$A174,S項目!$A:$A,0)),"")</f>
        <v/>
      </c>
      <c r="C174" t="str">
        <f>IFERROR(INDEX(C項目!$A:$A,MATCH(アイテムビューア!$E174,C項目!$D:$D,0)),"")</f>
        <v/>
      </c>
      <c r="D174" t="str">
        <f>IFERROR(INDEX(T項目!$E:$E,MATCH(アイテムビューア!$C174,T項目!$D:$D,0)),"")</f>
        <v/>
      </c>
      <c r="E174" t="str">
        <f>アイテム項目!$A174</f>
        <v>T-0405</v>
      </c>
      <c r="F174" t="str">
        <f>IFERROR(INDEX(C項目!$E:$E,MATCH(アイテムビューア!$E174,C項目!$D:$D,0)),"")</f>
        <v/>
      </c>
      <c r="G174" t="str">
        <f>アイテム項目!$E174</f>
        <v>I-00169</v>
      </c>
      <c r="H174" t="str">
        <f>アイテム項目!$F174</f>
        <v>精製水 500mL（1）</v>
      </c>
      <c r="I174" t="str">
        <f>アイテム項目!$G174</f>
        <v>液体</v>
      </c>
      <c r="J174" t="str">
        <f>アイテム項目!$H174</f>
        <v>B</v>
      </c>
      <c r="K174">
        <f>アイテム項目!$I174</f>
        <v>0</v>
      </c>
    </row>
    <row r="175" spans="1:11">
      <c r="A175" t="str">
        <f>IFERROR(INDEX(T項目!$A:$A,MATCH(アイテムビューア!$C175,T項目!$D:$D,0)),"")</f>
        <v/>
      </c>
      <c r="B175" t="str">
        <f>IFERROR(INDEX(S項目!$B:$B,MATCH(アイテムビューア!$A175,S項目!$A:$A,0)),"")</f>
        <v/>
      </c>
      <c r="C175" t="str">
        <f>IFERROR(INDEX(C項目!$A:$A,MATCH(アイテムビューア!$E175,C項目!$D:$D,0)),"")</f>
        <v/>
      </c>
      <c r="D175" t="str">
        <f>IFERROR(INDEX(T項目!$E:$E,MATCH(アイテムビューア!$C175,T項目!$D:$D,0)),"")</f>
        <v/>
      </c>
      <c r="E175" t="str">
        <f>アイテム項目!$A175</f>
        <v>T-0405</v>
      </c>
      <c r="F175" t="str">
        <f>IFERROR(INDEX(C項目!$E:$E,MATCH(アイテムビューア!$E175,C項目!$D:$D,0)),"")</f>
        <v/>
      </c>
      <c r="G175" t="str">
        <f>アイテム項目!$E175</f>
        <v>I-00170</v>
      </c>
      <c r="H175" t="str">
        <f>アイテム項目!$F175</f>
        <v>精製水 500mL（2）</v>
      </c>
      <c r="I175" t="str">
        <f>アイテム項目!$G175</f>
        <v>液体</v>
      </c>
      <c r="J175" t="str">
        <f>アイテム項目!$H175</f>
        <v>B</v>
      </c>
      <c r="K175">
        <f>アイテム項目!$I175</f>
        <v>0</v>
      </c>
    </row>
    <row r="176" spans="1:11">
      <c r="A176" t="str">
        <f>IFERROR(INDEX(T項目!$A:$A,MATCH(アイテムビューア!$C176,T項目!$D:$D,0)),"")</f>
        <v/>
      </c>
      <c r="B176" t="str">
        <f>IFERROR(INDEX(S項目!$B:$B,MATCH(アイテムビューア!$A176,S項目!$A:$A,0)),"")</f>
        <v/>
      </c>
      <c r="C176" t="str">
        <f>IFERROR(INDEX(C項目!$A:$A,MATCH(アイテムビューア!$E176,C項目!$D:$D,0)),"")</f>
        <v/>
      </c>
      <c r="D176" t="str">
        <f>IFERROR(INDEX(T項目!$E:$E,MATCH(アイテムビューア!$C176,T項目!$D:$D,0)),"")</f>
        <v/>
      </c>
      <c r="E176" t="str">
        <f>アイテム項目!$A176</f>
        <v>T-0405</v>
      </c>
      <c r="F176" t="str">
        <f>IFERROR(INDEX(C項目!$E:$E,MATCH(アイテムビューア!$E176,C項目!$D:$D,0)),"")</f>
        <v/>
      </c>
      <c r="G176" t="str">
        <f>アイテム項目!$E176</f>
        <v>I-00171</v>
      </c>
      <c r="H176" t="str">
        <f>アイテム項目!$F176</f>
        <v>水（手書きラベル）</v>
      </c>
      <c r="I176" t="str">
        <f>アイテム項目!$G176</f>
        <v>液体</v>
      </c>
      <c r="J176" t="str">
        <f>アイテム項目!$H176</f>
        <v>B</v>
      </c>
      <c r="K176">
        <f>アイテム項目!$I176</f>
        <v>0</v>
      </c>
    </row>
    <row r="177" spans="1:11">
      <c r="A177" t="str">
        <f>IFERROR(INDEX(T項目!$A:$A,MATCH(アイテムビューア!$C177,T項目!$D:$D,0)),"")</f>
        <v/>
      </c>
      <c r="B177" t="str">
        <f>IFERROR(INDEX(S項目!$B:$B,MATCH(アイテムビューア!$A177,S項目!$A:$A,0)),"")</f>
        <v/>
      </c>
      <c r="C177" t="str">
        <f>IFERROR(INDEX(C項目!$A:$A,MATCH(アイテムビューア!$E177,C項目!$D:$D,0)),"")</f>
        <v/>
      </c>
      <c r="D177" t="str">
        <f>IFERROR(INDEX(T項目!$E:$E,MATCH(アイテムビューア!$C177,T項目!$D:$D,0)),"")</f>
        <v/>
      </c>
      <c r="E177" t="str">
        <f>アイテム項目!$A177</f>
        <v>T-0405</v>
      </c>
      <c r="F177" t="str">
        <f>IFERROR(INDEX(C項目!$E:$E,MATCH(アイテムビューア!$E177,C項目!$D:$D,0)),"")</f>
        <v/>
      </c>
      <c r="G177" t="str">
        <f>アイテム項目!$E177</f>
        <v>I-00172</v>
      </c>
      <c r="H177" t="str">
        <f>アイテム項目!$F177</f>
        <v>ニチバン テープはがし 強力タイプ</v>
      </c>
      <c r="I177" t="str">
        <f>アイテム項目!$G177</f>
        <v>液体</v>
      </c>
      <c r="J177" t="str">
        <f>アイテム項目!$H177</f>
        <v>B</v>
      </c>
      <c r="K177">
        <f>アイテム項目!$I177</f>
        <v>0</v>
      </c>
    </row>
    <row r="178" spans="1:11">
      <c r="A178" t="str">
        <f>IFERROR(INDEX(T項目!$A:$A,MATCH(アイテムビューア!$C178,T項目!$D:$D,0)),"")</f>
        <v/>
      </c>
      <c r="B178" t="str">
        <f>IFERROR(INDEX(S項目!$B:$B,MATCH(アイテムビューア!$A178,S項目!$A:$A,0)),"")</f>
        <v/>
      </c>
      <c r="C178" t="str">
        <f>IFERROR(INDEX(C項目!$A:$A,MATCH(アイテムビューア!$E178,C項目!$D:$D,0)),"")</f>
        <v/>
      </c>
      <c r="D178" t="str">
        <f>IFERROR(INDEX(T項目!$E:$E,MATCH(アイテムビューア!$C178,T項目!$D:$D,0)),"")</f>
        <v/>
      </c>
      <c r="E178" t="str">
        <f>アイテム項目!$A178</f>
        <v>T-0405</v>
      </c>
      <c r="F178" t="str">
        <f>IFERROR(INDEX(C項目!$E:$E,MATCH(アイテムビューア!$E178,C項目!$D:$D,0)),"")</f>
        <v/>
      </c>
      <c r="G178" t="str">
        <f>アイテム項目!$E178</f>
        <v>I-00173</v>
      </c>
      <c r="H178" t="str">
        <f>アイテム項目!$F178</f>
        <v>シールはがしスプレー（緑・1）</v>
      </c>
      <c r="I178" t="str">
        <f>アイテム項目!$G178</f>
        <v>スプレー</v>
      </c>
      <c r="J178" t="str">
        <f>アイテム項目!$H178</f>
        <v>B</v>
      </c>
      <c r="K178">
        <f>アイテム項目!$I178</f>
        <v>0</v>
      </c>
    </row>
    <row r="179" spans="1:11">
      <c r="A179" t="str">
        <f>IFERROR(INDEX(T項目!$A:$A,MATCH(アイテムビューア!$C179,T項目!$D:$D,0)),"")</f>
        <v/>
      </c>
      <c r="B179" t="str">
        <f>IFERROR(INDEX(S項目!$B:$B,MATCH(アイテムビューア!$A179,S項目!$A:$A,0)),"")</f>
        <v/>
      </c>
      <c r="C179" t="str">
        <f>IFERROR(INDEX(C項目!$A:$A,MATCH(アイテムビューア!$E179,C項目!$D:$D,0)),"")</f>
        <v/>
      </c>
      <c r="D179" t="str">
        <f>IFERROR(INDEX(T項目!$E:$E,MATCH(アイテムビューア!$C179,T項目!$D:$D,0)),"")</f>
        <v/>
      </c>
      <c r="E179" t="str">
        <f>アイテム項目!$A179</f>
        <v>T-0405</v>
      </c>
      <c r="F179" t="str">
        <f>IFERROR(INDEX(C項目!$E:$E,MATCH(アイテムビューア!$E179,C項目!$D:$D,0)),"")</f>
        <v/>
      </c>
      <c r="G179" t="str">
        <f>アイテム項目!$E179</f>
        <v>I-00174</v>
      </c>
      <c r="H179" t="str">
        <f>アイテム項目!$F179</f>
        <v>シールはがしスプレー（緑・2）</v>
      </c>
      <c r="I179" t="str">
        <f>アイテム項目!$G179</f>
        <v>スプレー</v>
      </c>
      <c r="J179" t="str">
        <f>アイテム項目!$H179</f>
        <v>B</v>
      </c>
      <c r="K179">
        <f>アイテム項目!$I179</f>
        <v>0</v>
      </c>
    </row>
    <row r="180" spans="1:11">
      <c r="A180" t="str">
        <f>IFERROR(INDEX(T項目!$A:$A,MATCH(アイテムビューア!$C180,T項目!$D:$D,0)),"")</f>
        <v/>
      </c>
      <c r="B180" t="str">
        <f>IFERROR(INDEX(S項目!$B:$B,MATCH(アイテムビューア!$A180,S項目!$A:$A,0)),"")</f>
        <v/>
      </c>
      <c r="C180" t="str">
        <f>IFERROR(INDEX(C項目!$A:$A,MATCH(アイテムビューア!$E180,C項目!$D:$D,0)),"")</f>
        <v/>
      </c>
      <c r="D180" t="str">
        <f>IFERROR(INDEX(T項目!$E:$E,MATCH(アイテムビューア!$C180,T項目!$D:$D,0)),"")</f>
        <v/>
      </c>
      <c r="E180" t="str">
        <f>アイテム項目!$A180</f>
        <v>T-0405</v>
      </c>
      <c r="F180" t="str">
        <f>IFERROR(INDEX(C項目!$E:$E,MATCH(アイテムビューア!$E180,C項目!$D:$D,0)),"")</f>
        <v/>
      </c>
      <c r="G180" t="str">
        <f>アイテム項目!$E180</f>
        <v>I-00175</v>
      </c>
      <c r="H180" t="str">
        <f>アイテム項目!$F180</f>
        <v>コクヨ シールはがし</v>
      </c>
      <c r="I180" t="str">
        <f>アイテム項目!$G180</f>
        <v>スプレー</v>
      </c>
      <c r="J180" t="str">
        <f>アイテム項目!$H180</f>
        <v>B</v>
      </c>
      <c r="K180">
        <f>アイテム項目!$I180</f>
        <v>0</v>
      </c>
    </row>
    <row r="181" spans="1:11">
      <c r="A181" t="str">
        <f>IFERROR(INDEX(T項目!$A:$A,MATCH(アイテムビューア!$C181,T項目!$D:$D,0)),"")</f>
        <v/>
      </c>
      <c r="B181" t="str">
        <f>IFERROR(INDEX(S項目!$B:$B,MATCH(アイテムビューア!$A181,S項目!$A:$A,0)),"")</f>
        <v/>
      </c>
      <c r="C181" t="str">
        <f>IFERROR(INDEX(C項目!$A:$A,MATCH(アイテムビューア!$E181,C項目!$D:$D,0)),"")</f>
        <v/>
      </c>
      <c r="D181" t="str">
        <f>IFERROR(INDEX(T項目!$E:$E,MATCH(アイテムビューア!$C181,T項目!$D:$D,0)),"")</f>
        <v/>
      </c>
      <c r="E181" t="str">
        <f>アイテム項目!$A181</f>
        <v>T-0405</v>
      </c>
      <c r="F181" t="str">
        <f>IFERROR(INDEX(C項目!$E:$E,MATCH(アイテムビューア!$E181,C項目!$D:$D,0)),"")</f>
        <v/>
      </c>
      <c r="G181" t="str">
        <f>アイテム項目!$E181</f>
        <v>I-00176</v>
      </c>
      <c r="H181" t="str">
        <f>アイテム項目!$F181</f>
        <v>シールはがし 70ml</v>
      </c>
      <c r="I181" t="str">
        <f>アイテム項目!$G181</f>
        <v>スプレー</v>
      </c>
      <c r="J181" t="str">
        <f>アイテム項目!$H181</f>
        <v>B</v>
      </c>
      <c r="K181">
        <f>アイテム項目!$I181</f>
        <v>0</v>
      </c>
    </row>
    <row r="182" spans="1:11">
      <c r="A182" t="str">
        <f>IFERROR(INDEX(T項目!$A:$A,MATCH(アイテムビューア!$C182,T項目!$D:$D,0)),"")</f>
        <v/>
      </c>
      <c r="B182" t="str">
        <f>IFERROR(INDEX(S項目!$B:$B,MATCH(アイテムビューア!$A182,S項目!$A:$A,0)),"")</f>
        <v/>
      </c>
      <c r="C182" t="str">
        <f>IFERROR(INDEX(C項目!$A:$A,MATCH(アイテムビューア!$E182,C項目!$D:$D,0)),"")</f>
        <v/>
      </c>
      <c r="D182" t="str">
        <f>IFERROR(INDEX(T項目!$E:$E,MATCH(アイテムビューア!$C182,T項目!$D:$D,0)),"")</f>
        <v/>
      </c>
      <c r="E182" t="str">
        <f>アイテム項目!$A182</f>
        <v>T-0405</v>
      </c>
      <c r="F182" t="str">
        <f>IFERROR(INDEX(C項目!$E:$E,MATCH(アイテムビューア!$E182,C項目!$D:$D,0)),"")</f>
        <v/>
      </c>
      <c r="G182" t="str">
        <f>アイテム項目!$E182</f>
        <v>I-00177</v>
      </c>
      <c r="H182" t="str">
        <f>アイテム項目!$F182</f>
        <v>GAS BOMBE ガスボンベ</v>
      </c>
      <c r="I182" t="str">
        <f>アイテム項目!$G182</f>
        <v>燃料</v>
      </c>
      <c r="J182" t="str">
        <f>アイテム項目!$H182</f>
        <v>B</v>
      </c>
      <c r="K182">
        <f>アイテム項目!$I182</f>
        <v>0</v>
      </c>
    </row>
    <row r="183" spans="1:11">
      <c r="A183" t="str">
        <f>IFERROR(INDEX(T項目!$A:$A,MATCH(アイテムビューア!$C183,T項目!$D:$D,0)),"")</f>
        <v/>
      </c>
      <c r="B183" t="str">
        <f>IFERROR(INDEX(S項目!$B:$B,MATCH(アイテムビューア!$A183,S項目!$A:$A,0)),"")</f>
        <v/>
      </c>
      <c r="C183" t="str">
        <f>IFERROR(INDEX(C項目!$A:$A,MATCH(アイテムビューア!$E183,C項目!$D:$D,0)),"")</f>
        <v/>
      </c>
      <c r="D183" t="str">
        <f>IFERROR(INDEX(T項目!$E:$E,MATCH(アイテムビューア!$C183,T項目!$D:$D,0)),"")</f>
        <v/>
      </c>
      <c r="E183" t="str">
        <f>アイテム項目!$A183</f>
        <v>T-0405</v>
      </c>
      <c r="F183" t="str">
        <f>IFERROR(INDEX(C項目!$E:$E,MATCH(アイテムビューア!$E183,C項目!$D:$D,0)),"")</f>
        <v/>
      </c>
      <c r="G183" t="str">
        <f>アイテム項目!$E183</f>
        <v>I-00178</v>
      </c>
      <c r="H183" t="str">
        <f>アイテム項目!$F183</f>
        <v>CASHEW THINNER うすめ液 300ml</v>
      </c>
      <c r="I183" t="str">
        <f>アイテム項目!$G183</f>
        <v>液体</v>
      </c>
      <c r="J183" t="str">
        <f>アイテム項目!$H183</f>
        <v>B</v>
      </c>
      <c r="K183">
        <f>アイテム項目!$I183</f>
        <v>0</v>
      </c>
    </row>
    <row r="184" spans="1:11">
      <c r="A184" t="str">
        <f>IFERROR(INDEX(T項目!$A:$A,MATCH(アイテムビューア!$C184,T項目!$D:$D,0)),"")</f>
        <v/>
      </c>
      <c r="B184" t="str">
        <f>IFERROR(INDEX(S項目!$B:$B,MATCH(アイテムビューア!$A184,S項目!$A:$A,0)),"")</f>
        <v/>
      </c>
      <c r="C184" t="str">
        <f>IFERROR(INDEX(C項目!$A:$A,MATCH(アイテムビューア!$E184,C項目!$D:$D,0)),"")</f>
        <v/>
      </c>
      <c r="D184" t="str">
        <f>IFERROR(INDEX(T項目!$E:$E,MATCH(アイテムビューア!$C184,T項目!$D:$D,0)),"")</f>
        <v/>
      </c>
      <c r="E184" t="str">
        <f>アイテム項目!$A184</f>
        <v>T-0405</v>
      </c>
      <c r="F184" t="str">
        <f>IFERROR(INDEX(C項目!$E:$E,MATCH(アイテムビューア!$E184,C項目!$D:$D,0)),"")</f>
        <v/>
      </c>
      <c r="G184" t="str">
        <f>アイテム項目!$E184</f>
        <v>I-00179</v>
      </c>
      <c r="H184" t="str">
        <f>アイテム項目!$F184</f>
        <v>MULTI GAS ライター専用ガス</v>
      </c>
      <c r="I184" t="str">
        <f>アイテム項目!$G184</f>
        <v>燃料</v>
      </c>
      <c r="J184" t="str">
        <f>アイテム項目!$H184</f>
        <v>B</v>
      </c>
      <c r="K184">
        <f>アイテム項目!$I184</f>
        <v>0</v>
      </c>
    </row>
    <row r="185" spans="1:11">
      <c r="A185" t="str">
        <f>IFERROR(INDEX(T項目!$A:$A,MATCH(アイテムビューア!$C185,T項目!$D:$D,0)),"")</f>
        <v/>
      </c>
      <c r="B185" t="str">
        <f>IFERROR(INDEX(S項目!$B:$B,MATCH(アイテムビューア!$A185,S項目!$A:$A,0)),"")</f>
        <v/>
      </c>
      <c r="C185" t="str">
        <f>IFERROR(INDEX(C項目!$A:$A,MATCH(アイテムビューア!$E185,C項目!$D:$D,0)),"")</f>
        <v/>
      </c>
      <c r="D185" t="str">
        <f>IFERROR(INDEX(T項目!$E:$E,MATCH(アイテムビューア!$C185,T項目!$D:$D,0)),"")</f>
        <v/>
      </c>
      <c r="E185" t="str">
        <f>アイテム項目!$A185</f>
        <v>T-0405</v>
      </c>
      <c r="F185" t="str">
        <f>IFERROR(INDEX(C項目!$E:$E,MATCH(アイテムビューア!$E185,C項目!$D:$D,0)),"")</f>
        <v/>
      </c>
      <c r="G185" t="str">
        <f>アイテム項目!$E185</f>
        <v>I-00180</v>
      </c>
      <c r="H185" t="str">
        <f>アイテム項目!$F185</f>
        <v>消毒用エタノール 500mL</v>
      </c>
      <c r="I185" t="str">
        <f>アイテム項目!$G185</f>
        <v>液体</v>
      </c>
      <c r="J185" t="str">
        <f>アイテム項目!$H185</f>
        <v>B</v>
      </c>
      <c r="K185">
        <f>アイテム項目!$I185</f>
        <v>0</v>
      </c>
    </row>
    <row r="186" spans="1:11">
      <c r="A186" t="str">
        <f>IFERROR(INDEX(T項目!$A:$A,MATCH(アイテムビューア!$C186,T項目!$D:$D,0)),"")</f>
        <v/>
      </c>
      <c r="B186" t="str">
        <f>IFERROR(INDEX(S項目!$B:$B,MATCH(アイテムビューア!$A186,S項目!$A:$A,0)),"")</f>
        <v/>
      </c>
      <c r="C186" t="str">
        <f>IFERROR(INDEX(C項目!$A:$A,MATCH(アイテムビューア!$E186,C項目!$D:$D,0)),"")</f>
        <v/>
      </c>
      <c r="D186" t="str">
        <f>IFERROR(INDEX(T項目!$E:$E,MATCH(アイテムビューア!$C186,T項目!$D:$D,0)),"")</f>
        <v/>
      </c>
      <c r="E186" t="str">
        <f>アイテム項目!$A186</f>
        <v>T-0405</v>
      </c>
      <c r="F186" t="str">
        <f>IFERROR(INDEX(C項目!$E:$E,MATCH(アイテムビューア!$E186,C項目!$D:$D,0)),"")</f>
        <v/>
      </c>
      <c r="G186" t="str">
        <f>アイテム項目!$E186</f>
        <v>I-00181</v>
      </c>
      <c r="H186" t="str">
        <f>アイテム項目!$F186</f>
        <v>無水エタノール 500mL</v>
      </c>
      <c r="I186" t="str">
        <f>アイテム項目!$G186</f>
        <v>液体</v>
      </c>
      <c r="J186" t="str">
        <f>アイテム項目!$H186</f>
        <v>B</v>
      </c>
      <c r="K186">
        <f>アイテム項目!$I186</f>
        <v>0</v>
      </c>
    </row>
    <row r="187" spans="1:11">
      <c r="A187" t="str">
        <f>IFERROR(INDEX(T項目!$A:$A,MATCH(アイテムビューア!$C187,T項目!$D:$D,0)),"")</f>
        <v/>
      </c>
      <c r="B187" t="str">
        <f>IFERROR(INDEX(S項目!$B:$B,MATCH(アイテムビューア!$A187,S項目!$A:$A,0)),"")</f>
        <v/>
      </c>
      <c r="C187" t="str">
        <f>IFERROR(INDEX(C項目!$A:$A,MATCH(アイテムビューア!$E187,C項目!$D:$D,0)),"")</f>
        <v/>
      </c>
      <c r="D187" t="str">
        <f>IFERROR(INDEX(T項目!$E:$E,MATCH(アイテムビューア!$C187,T項目!$D:$D,0)),"")</f>
        <v/>
      </c>
      <c r="E187" t="str">
        <f>アイテム項目!$A187</f>
        <v>T-0405</v>
      </c>
      <c r="F187" t="str">
        <f>IFERROR(INDEX(C項目!$E:$E,MATCH(アイテムビューア!$E187,C項目!$D:$D,0)),"")</f>
        <v/>
      </c>
      <c r="G187" t="str">
        <f>アイテム項目!$E187</f>
        <v>I-00182</v>
      </c>
      <c r="H187" t="str">
        <f>アイテム項目!$F187</f>
        <v>クリエイティブカラースプレー</v>
      </c>
      <c r="I187" t="str">
        <f>アイテム項目!$G187</f>
        <v>スプレー</v>
      </c>
      <c r="J187" t="str">
        <f>アイテム項目!$H187</f>
        <v>B</v>
      </c>
      <c r="K187">
        <f>アイテム項目!$I187</f>
        <v>0</v>
      </c>
    </row>
    <row r="188" spans="1:11">
      <c r="A188" t="str">
        <f>IFERROR(INDEX(T項目!$A:$A,MATCH(アイテムビューア!$C188,T項目!$D:$D,0)),"")</f>
        <v/>
      </c>
      <c r="B188" t="str">
        <f>IFERROR(INDEX(S項目!$B:$B,MATCH(アイテムビューア!$A188,S項目!$A:$A,0)),"")</f>
        <v/>
      </c>
      <c r="C188" t="str">
        <f>IFERROR(INDEX(C項目!$A:$A,MATCH(アイテムビューア!$E188,C項目!$D:$D,0)),"")</f>
        <v/>
      </c>
      <c r="D188" t="str">
        <f>IFERROR(INDEX(T項目!$E:$E,MATCH(アイテムビューア!$C188,T項目!$D:$D,0)),"")</f>
        <v/>
      </c>
      <c r="E188" t="str">
        <f>アイテム項目!$A188</f>
        <v>T-0405</v>
      </c>
      <c r="F188" t="str">
        <f>IFERROR(INDEX(C項目!$E:$E,MATCH(アイテムビューア!$E188,C項目!$D:$D,0)),"")</f>
        <v/>
      </c>
      <c r="G188" t="str">
        <f>アイテム項目!$E188</f>
        <v>I-00183</v>
      </c>
      <c r="H188" t="str">
        <f>アイテム項目!$F188</f>
        <v>ALOE SKIN LOTION</v>
      </c>
      <c r="I188" t="str">
        <f>アイテム項目!$G188</f>
        <v>液体</v>
      </c>
      <c r="J188" t="str">
        <f>アイテム項目!$H188</f>
        <v>B</v>
      </c>
      <c r="K188">
        <f>アイテム項目!$I188</f>
        <v>0</v>
      </c>
    </row>
    <row r="189" spans="1:11">
      <c r="A189" t="str">
        <f>IFERROR(INDEX(T項目!$A:$A,MATCH(アイテムビューア!$C189,T項目!$D:$D,0)),"")</f>
        <v/>
      </c>
      <c r="B189" t="str">
        <f>IFERROR(INDEX(S項目!$B:$B,MATCH(アイテムビューア!$A189,S項目!$A:$A,0)),"")</f>
        <v/>
      </c>
      <c r="C189" t="str">
        <f>IFERROR(INDEX(C項目!$A:$A,MATCH(アイテムビューア!$E189,C項目!$D:$D,0)),"")</f>
        <v/>
      </c>
      <c r="D189" t="str">
        <f>IFERROR(INDEX(T項目!$E:$E,MATCH(アイテムビューア!$C189,T項目!$D:$D,0)),"")</f>
        <v/>
      </c>
      <c r="E189" t="str">
        <f>アイテム項目!$A189</f>
        <v>T-0405</v>
      </c>
      <c r="F189" t="str">
        <f>IFERROR(INDEX(C項目!$E:$E,MATCH(アイテムビューア!$E189,C項目!$D:$D,0)),"")</f>
        <v/>
      </c>
      <c r="G189" t="str">
        <f>アイテム項目!$E189</f>
        <v>I-00184</v>
      </c>
      <c r="H189" t="str">
        <f>アイテム項目!$F189</f>
        <v>FINGER BOARD SPRAY SK-05</v>
      </c>
      <c r="I189" t="str">
        <f>アイテム項目!$G189</f>
        <v>スプレー</v>
      </c>
      <c r="J189" t="str">
        <f>アイテム項目!$H189</f>
        <v>B</v>
      </c>
      <c r="K189">
        <f>アイテム項目!$I189</f>
        <v>0</v>
      </c>
    </row>
    <row r="190" spans="1:11">
      <c r="A190" t="str">
        <f>IFERROR(INDEX(T項目!$A:$A,MATCH(アイテムビューア!$C190,T項目!$D:$D,0)),"")</f>
        <v/>
      </c>
      <c r="B190" t="str">
        <f>IFERROR(INDEX(S項目!$B:$B,MATCH(アイテムビューア!$A190,S項目!$A:$A,0)),"")</f>
        <v/>
      </c>
      <c r="C190" t="str">
        <f>IFERROR(INDEX(C項目!$A:$A,MATCH(アイテムビューア!$E190,C項目!$D:$D,0)),"")</f>
        <v/>
      </c>
      <c r="D190" t="str">
        <f>IFERROR(INDEX(T項目!$E:$E,MATCH(アイテムビューア!$C190,T項目!$D:$D,0)),"")</f>
        <v/>
      </c>
      <c r="E190" t="str">
        <f>アイテム項目!$A190</f>
        <v>T-0405</v>
      </c>
      <c r="F190" t="str">
        <f>IFERROR(INDEX(C項目!$E:$E,MATCH(アイテムビューア!$E190,C項目!$D:$D,0)),"")</f>
        <v/>
      </c>
      <c r="G190" t="str">
        <f>アイテム項目!$E190</f>
        <v>I-00185</v>
      </c>
      <c r="H190" t="str">
        <f>アイテム項目!$F190</f>
        <v>zippo Lighter Fluid</v>
      </c>
      <c r="I190" t="str">
        <f>アイテム項目!$G190</f>
        <v>液体</v>
      </c>
      <c r="J190" t="str">
        <f>アイテム項目!$H190</f>
        <v>B</v>
      </c>
      <c r="K190">
        <f>アイテム項目!$I190</f>
        <v>0</v>
      </c>
    </row>
    <row r="191" spans="1:11">
      <c r="A191" t="str">
        <f>IFERROR(INDEX(T項目!$A:$A,MATCH(アイテムビューア!$C191,T項目!$D:$D,0)),"")</f>
        <v/>
      </c>
      <c r="B191" t="str">
        <f>IFERROR(INDEX(S項目!$B:$B,MATCH(アイテムビューア!$A191,S項目!$A:$A,0)),"")</f>
        <v/>
      </c>
      <c r="C191" t="str">
        <f>IFERROR(INDEX(C項目!$A:$A,MATCH(アイテムビューア!$E191,C項目!$D:$D,0)),"")</f>
        <v/>
      </c>
      <c r="D191" t="str">
        <f>IFERROR(INDEX(T項目!$E:$E,MATCH(アイテムビューア!$C191,T項目!$D:$D,0)),"")</f>
        <v/>
      </c>
      <c r="E191" t="str">
        <f>アイテム項目!$A191</f>
        <v>T-0405</v>
      </c>
      <c r="F191" t="str">
        <f>IFERROR(INDEX(C項目!$E:$E,MATCH(アイテムビューア!$E191,C項目!$D:$D,0)),"")</f>
        <v/>
      </c>
      <c r="G191" t="str">
        <f>アイテム項目!$E191</f>
        <v>I-00186</v>
      </c>
      <c r="H191" t="str">
        <f>アイテム項目!$F191</f>
        <v>グリーススプレー 65ml（1）</v>
      </c>
      <c r="I191" t="str">
        <f>アイテム項目!$G191</f>
        <v>スプレー</v>
      </c>
      <c r="J191" t="str">
        <f>アイテム項目!$H191</f>
        <v>B</v>
      </c>
      <c r="K191">
        <f>アイテム項目!$I191</f>
        <v>0</v>
      </c>
    </row>
    <row r="192" spans="1:11">
      <c r="A192" t="str">
        <f>IFERROR(INDEX(T項目!$A:$A,MATCH(アイテムビューア!$C192,T項目!$D:$D,0)),"")</f>
        <v/>
      </c>
      <c r="B192" t="str">
        <f>IFERROR(INDEX(S項目!$B:$B,MATCH(アイテムビューア!$A192,S項目!$A:$A,0)),"")</f>
        <v/>
      </c>
      <c r="C192" t="str">
        <f>IFERROR(INDEX(C項目!$A:$A,MATCH(アイテムビューア!$E192,C項目!$D:$D,0)),"")</f>
        <v/>
      </c>
      <c r="D192" t="str">
        <f>IFERROR(INDEX(T項目!$E:$E,MATCH(アイテムビューア!$C192,T項目!$D:$D,0)),"")</f>
        <v/>
      </c>
      <c r="E192" t="str">
        <f>アイテム項目!$A192</f>
        <v>T-0405</v>
      </c>
      <c r="F192" t="str">
        <f>IFERROR(INDEX(C項目!$E:$E,MATCH(アイテムビューア!$E192,C項目!$D:$D,0)),"")</f>
        <v/>
      </c>
      <c r="G192" t="str">
        <f>アイテム項目!$E192</f>
        <v>I-00187</v>
      </c>
      <c r="H192" t="str">
        <f>アイテム項目!$F192</f>
        <v>グリーススプレー 65ml（2）</v>
      </c>
      <c r="I192" t="str">
        <f>アイテム項目!$G192</f>
        <v>スプレー</v>
      </c>
      <c r="J192" t="str">
        <f>アイテム項目!$H192</f>
        <v>B</v>
      </c>
      <c r="K192">
        <f>アイテム項目!$I192</f>
        <v>0</v>
      </c>
    </row>
    <row r="193" spans="1:11">
      <c r="A193" t="str">
        <f>IFERROR(INDEX(T項目!$A:$A,MATCH(アイテムビューア!$C193,T項目!$D:$D,0)),"")</f>
        <v/>
      </c>
      <c r="B193" t="str">
        <f>IFERROR(INDEX(S項目!$B:$B,MATCH(アイテムビューア!$A193,S項目!$A:$A,0)),"")</f>
        <v/>
      </c>
      <c r="C193" t="str">
        <f>IFERROR(INDEX(C項目!$A:$A,MATCH(アイテムビューア!$E193,C項目!$D:$D,0)),"")</f>
        <v/>
      </c>
      <c r="D193" t="str">
        <f>IFERROR(INDEX(T項目!$E:$E,MATCH(アイテムビューア!$C193,T項目!$D:$D,0)),"")</f>
        <v/>
      </c>
      <c r="E193" t="str">
        <f>アイテム項目!$A193</f>
        <v>T-0405</v>
      </c>
      <c r="F193" t="str">
        <f>IFERROR(INDEX(C項目!$E:$E,MATCH(アイテムビューア!$E193,C項目!$D:$D,0)),"")</f>
        <v/>
      </c>
      <c r="G193" t="str">
        <f>アイテム項目!$E193</f>
        <v>I-00188</v>
      </c>
      <c r="H193" t="str">
        <f>アイテム項目!$F193</f>
        <v>シリコーンスプレー（青白・1）</v>
      </c>
      <c r="I193" t="str">
        <f>アイテム項目!$G193</f>
        <v>スプレー</v>
      </c>
      <c r="J193" t="str">
        <f>アイテム項目!$H193</f>
        <v>B</v>
      </c>
      <c r="K193">
        <f>アイテム項目!$I193</f>
        <v>0</v>
      </c>
    </row>
    <row r="194" spans="1:11">
      <c r="A194" t="str">
        <f>IFERROR(INDEX(T項目!$A:$A,MATCH(アイテムビューア!$C194,T項目!$D:$D,0)),"")</f>
        <v/>
      </c>
      <c r="B194" t="str">
        <f>IFERROR(INDEX(S項目!$B:$B,MATCH(アイテムビューア!$A194,S項目!$A:$A,0)),"")</f>
        <v/>
      </c>
      <c r="C194" t="str">
        <f>IFERROR(INDEX(C項目!$A:$A,MATCH(アイテムビューア!$E194,C項目!$D:$D,0)),"")</f>
        <v/>
      </c>
      <c r="D194" t="str">
        <f>IFERROR(INDEX(T項目!$E:$E,MATCH(アイテムビューア!$C194,T項目!$D:$D,0)),"")</f>
        <v/>
      </c>
      <c r="E194" t="str">
        <f>アイテム項目!$A194</f>
        <v>T-0405</v>
      </c>
      <c r="F194" t="str">
        <f>IFERROR(INDEX(C項目!$E:$E,MATCH(アイテムビューア!$E194,C項目!$D:$D,0)),"")</f>
        <v/>
      </c>
      <c r="G194" t="str">
        <f>アイテム項目!$E194</f>
        <v>I-00189</v>
      </c>
      <c r="H194" t="str">
        <f>アイテム項目!$F194</f>
        <v>シリコーンスプレー（青白・2）</v>
      </c>
      <c r="I194" t="str">
        <f>アイテム項目!$G194</f>
        <v>スプレー</v>
      </c>
      <c r="J194" t="str">
        <f>アイテム項目!$H194</f>
        <v>B</v>
      </c>
      <c r="K194">
        <f>アイテム項目!$I194</f>
        <v>0</v>
      </c>
    </row>
    <row r="195" spans="1:11">
      <c r="A195" t="str">
        <f>IFERROR(INDEX(T項目!$A:$A,MATCH(アイテムビューア!$C195,T項目!$D:$D,0)),"")</f>
        <v/>
      </c>
      <c r="B195" t="str">
        <f>IFERROR(INDEX(S項目!$B:$B,MATCH(アイテムビューア!$A195,S項目!$A:$A,0)),"")</f>
        <v/>
      </c>
      <c r="C195" t="str">
        <f>IFERROR(INDEX(C項目!$A:$A,MATCH(アイテムビューア!$E195,C項目!$D:$D,0)),"")</f>
        <v/>
      </c>
      <c r="D195" t="str">
        <f>IFERROR(INDEX(T項目!$E:$E,MATCH(アイテムビューア!$C195,T項目!$D:$D,0)),"")</f>
        <v/>
      </c>
      <c r="E195" t="str">
        <f>アイテム項目!$A195</f>
        <v>T-0405</v>
      </c>
      <c r="F195" t="str">
        <f>IFERROR(INDEX(C項目!$E:$E,MATCH(アイテムビューア!$E195,C項目!$D:$D,0)),"")</f>
        <v/>
      </c>
      <c r="G195" t="str">
        <f>アイテム項目!$E195</f>
        <v>I-00190</v>
      </c>
      <c r="H195" t="str">
        <f>アイテム項目!$F195</f>
        <v>ガスバーナートーチ</v>
      </c>
      <c r="I195" t="str">
        <f>アイテム項目!$G195</f>
        <v>工具</v>
      </c>
      <c r="J195" t="str">
        <f>アイテム項目!$H195</f>
        <v>B</v>
      </c>
      <c r="K195">
        <f>アイテム項目!$I195</f>
        <v>0</v>
      </c>
    </row>
    <row r="196" spans="1:11">
      <c r="A196" t="str">
        <f>IFERROR(INDEX(T項目!$A:$A,MATCH(アイテムビューア!$C196,T項目!$D:$D,0)),"")</f>
        <v/>
      </c>
      <c r="B196" t="str">
        <f>IFERROR(INDEX(S項目!$B:$B,MATCH(アイテムビューア!$A196,S項目!$A:$A,0)),"")</f>
        <v/>
      </c>
      <c r="C196" t="str">
        <f>IFERROR(INDEX(C項目!$A:$A,MATCH(アイテムビューア!$E196,C項目!$D:$D,0)),"")</f>
        <v/>
      </c>
      <c r="D196" t="str">
        <f>IFERROR(INDEX(T項目!$E:$E,MATCH(アイテムビューア!$C196,T項目!$D:$D,0)),"")</f>
        <v/>
      </c>
      <c r="E196" t="str">
        <f>アイテム項目!$A196</f>
        <v>T-0405</v>
      </c>
      <c r="F196" t="str">
        <f>IFERROR(INDEX(C項目!$E:$E,MATCH(アイテムビューア!$E196,C項目!$D:$D,0)),"")</f>
        <v/>
      </c>
      <c r="G196" t="str">
        <f>アイテム項目!$E196</f>
        <v>I-00191</v>
      </c>
      <c r="H196" t="str">
        <f>アイテム項目!$F196</f>
        <v>耐水ペーパー 8枚セット</v>
      </c>
      <c r="I196" t="str">
        <f>アイテム項目!$G196</f>
        <v>資材</v>
      </c>
      <c r="J196" t="str">
        <f>アイテム項目!$H196</f>
        <v>B</v>
      </c>
      <c r="K196">
        <f>アイテム項目!$I196</f>
        <v>0</v>
      </c>
    </row>
    <row r="197" spans="1:11">
      <c r="A197" t="str">
        <f>IFERROR(INDEX(T項目!$A:$A,MATCH(アイテムビューア!$C197,T項目!$D:$D,0)),"")</f>
        <v/>
      </c>
      <c r="B197" t="str">
        <f>IFERROR(INDEX(S項目!$B:$B,MATCH(アイテムビューア!$A197,S項目!$A:$A,0)),"")</f>
        <v/>
      </c>
      <c r="C197" t="str">
        <f>IFERROR(INDEX(C項目!$A:$A,MATCH(アイテムビューア!$E197,C項目!$D:$D,0)),"")</f>
        <v/>
      </c>
      <c r="D197" t="str">
        <f>IFERROR(INDEX(T項目!$E:$E,MATCH(アイテムビューア!$C197,T項目!$D:$D,0)),"")</f>
        <v/>
      </c>
      <c r="E197">
        <f>アイテム項目!$A197</f>
        <v>0</v>
      </c>
      <c r="F197" t="str">
        <f>IFERROR(INDEX(C項目!$E:$E,MATCH(アイテムビューア!$E197,C項目!$D:$D,0)),"")</f>
        <v/>
      </c>
      <c r="G197">
        <f>アイテム項目!$E197</f>
        <v>0</v>
      </c>
      <c r="H197">
        <f>アイテム項目!$F197</f>
        <v>0</v>
      </c>
      <c r="I197">
        <f>アイテム項目!$G197</f>
        <v>0</v>
      </c>
      <c r="J197">
        <f>アイテム項目!$H197</f>
        <v>0</v>
      </c>
      <c r="K197">
        <f>アイテム項目!$I197</f>
        <v>0</v>
      </c>
    </row>
    <row r="198" spans="1:11">
      <c r="A198" t="str">
        <f>IFERROR(INDEX(T項目!$A:$A,MATCH(アイテムビューア!$C198,T項目!$D:$D,0)),"")</f>
        <v>S-004</v>
      </c>
      <c r="B198" t="str">
        <f>IFERROR(INDEX(S項目!$B:$B,MATCH(アイテムビューア!$A198,S項目!$A:$A,0)),"")</f>
        <v>サイドテーブル</v>
      </c>
      <c r="C198" t="str">
        <f>IFERROR(INDEX(C項目!$A:$A,MATCH(アイテムビューア!$E198,C項目!$D:$D,0)),"")</f>
        <v>T-0402</v>
      </c>
      <c r="D198" t="str">
        <f>IFERROR(INDEX(T項目!$E:$E,MATCH(アイテムビューア!$C198,T項目!$D:$D,0)),"")</f>
        <v>一段目引出し</v>
      </c>
      <c r="E198" t="str">
        <f>アイテム項目!$A198</f>
        <v>C-040201</v>
      </c>
      <c r="F198" t="str">
        <f>IFERROR(INDEX(C項目!$E:$E,MATCH(アイテムビューア!$E198,C項目!$D:$D,0)),"")</f>
        <v>工具ケース</v>
      </c>
      <c r="G198" t="str">
        <f>アイテム項目!$E198</f>
        <v>I-00192</v>
      </c>
      <c r="H198" t="str">
        <f>アイテム項目!$F198</f>
        <v>水糸（コーセン）</v>
      </c>
      <c r="I198" t="str">
        <f>アイテム項目!$G198</f>
        <v>資材</v>
      </c>
      <c r="J198" t="str">
        <f>アイテム項目!$H198</f>
        <v>B</v>
      </c>
      <c r="K198" t="str">
        <f>アイテム項目!$I198</f>
        <v>白トレイ内、10m/350</v>
      </c>
    </row>
    <row r="199" spans="1:11">
      <c r="A199" t="str">
        <f>IFERROR(INDEX(T項目!$A:$A,MATCH(アイテムビューア!$C199,T項目!$D:$D,0)),"")</f>
        <v>S-004</v>
      </c>
      <c r="B199" t="str">
        <f>IFERROR(INDEX(S項目!$B:$B,MATCH(アイテムビューア!$A199,S項目!$A:$A,0)),"")</f>
        <v>サイドテーブル</v>
      </c>
      <c r="C199" t="str">
        <f>IFERROR(INDEX(C項目!$A:$A,MATCH(アイテムビューア!$E199,C項目!$D:$D,0)),"")</f>
        <v>T-0402</v>
      </c>
      <c r="D199" t="str">
        <f>IFERROR(INDEX(T項目!$E:$E,MATCH(アイテムビューア!$C199,T項目!$D:$D,0)),"")</f>
        <v>一段目引出し</v>
      </c>
      <c r="E199" t="str">
        <f>アイテム項目!$A199</f>
        <v>C-040201</v>
      </c>
      <c r="F199" t="str">
        <f>IFERROR(INDEX(C項目!$E:$E,MATCH(アイテムビューア!$E199,C項目!$D:$D,0)),"")</f>
        <v>工具ケース</v>
      </c>
      <c r="G199" t="str">
        <f>アイテム項目!$E199</f>
        <v>I-00193</v>
      </c>
      <c r="H199" t="str">
        <f>アイテム項目!$F199</f>
        <v>グルースティック</v>
      </c>
      <c r="I199" t="str">
        <f>アイテム項目!$G199</f>
        <v>接着</v>
      </c>
      <c r="J199" t="str">
        <f>アイテム項目!$H199</f>
        <v>B</v>
      </c>
      <c r="K199" t="str">
        <f>アイテム項目!$I199</f>
        <v>白トレイ内、半透明</v>
      </c>
    </row>
    <row r="200" spans="1:11">
      <c r="A200" t="str">
        <f>IFERROR(INDEX(T項目!$A:$A,MATCH(アイテムビューア!$C200,T項目!$D:$D,0)),"")</f>
        <v>S-004</v>
      </c>
      <c r="B200" t="str">
        <f>IFERROR(INDEX(S項目!$B:$B,MATCH(アイテムビューア!$A200,S項目!$A:$A,0)),"")</f>
        <v>サイドテーブル</v>
      </c>
      <c r="C200" t="str">
        <f>IFERROR(INDEX(C項目!$A:$A,MATCH(アイテムビューア!$E200,C項目!$D:$D,0)),"")</f>
        <v>T-0402</v>
      </c>
      <c r="D200" t="str">
        <f>IFERROR(INDEX(T項目!$E:$E,MATCH(アイテムビューア!$C200,T項目!$D:$D,0)),"")</f>
        <v>一段目引出し</v>
      </c>
      <c r="E200" t="str">
        <f>アイテム項目!$A200</f>
        <v>C-040201</v>
      </c>
      <c r="F200" t="str">
        <f>IFERROR(INDEX(C項目!$E:$E,MATCH(アイテムビューア!$E200,C項目!$D:$D,0)),"")</f>
        <v>工具ケース</v>
      </c>
      <c r="G200" t="str">
        <f>アイテム項目!$E200</f>
        <v>I-00194</v>
      </c>
      <c r="H200" t="str">
        <f>アイテム項目!$F200</f>
        <v>S字フック類</v>
      </c>
      <c r="I200" t="str">
        <f>アイテム項目!$G200</f>
        <v>小物</v>
      </c>
      <c r="J200" t="str">
        <f>アイテム項目!$H200</f>
        <v>B</v>
      </c>
      <c r="K200" t="str">
        <f>アイテム項目!$I200</f>
        <v>白トレイ内、複数</v>
      </c>
    </row>
    <row r="201" spans="1:11">
      <c r="A201" t="str">
        <f>IFERROR(INDEX(T項目!$A:$A,MATCH(アイテムビューア!$C201,T項目!$D:$D,0)),"")</f>
        <v>S-004</v>
      </c>
      <c r="B201" t="str">
        <f>IFERROR(INDEX(S項目!$B:$B,MATCH(アイテムビューア!$A201,S項目!$A:$A,0)),"")</f>
        <v>サイドテーブル</v>
      </c>
      <c r="C201" t="str">
        <f>IFERROR(INDEX(C項目!$A:$A,MATCH(アイテムビューア!$E201,C項目!$D:$D,0)),"")</f>
        <v>T-0402</v>
      </c>
      <c r="D201" t="str">
        <f>IFERROR(INDEX(T項目!$E:$E,MATCH(アイテムビューア!$C201,T項目!$D:$D,0)),"")</f>
        <v>一段目引出し</v>
      </c>
      <c r="E201" t="str">
        <f>アイテム項目!$A201</f>
        <v>C-040201</v>
      </c>
      <c r="F201" t="str">
        <f>IFERROR(INDEX(C項目!$E:$E,MATCH(アイテムビューア!$E201,C項目!$D:$D,0)),"")</f>
        <v>工具ケース</v>
      </c>
      <c r="G201" t="str">
        <f>アイテム項目!$E201</f>
        <v>I-00195</v>
      </c>
      <c r="H201" t="str">
        <f>アイテム項目!$F201</f>
        <v>精密ドライバー（銀）</v>
      </c>
      <c r="I201" t="str">
        <f>アイテム項目!$G201</f>
        <v>工具</v>
      </c>
      <c r="J201" t="str">
        <f>アイテム項目!$H201</f>
        <v>B</v>
      </c>
      <c r="K201" t="str">
        <f>アイテム項目!$I201</f>
        <v>白トレイ内</v>
      </c>
    </row>
    <row r="202" spans="1:11">
      <c r="A202" t="str">
        <f>IFERROR(INDEX(T項目!$A:$A,MATCH(アイテムビューア!$C202,T項目!$D:$D,0)),"")</f>
        <v>S-004</v>
      </c>
      <c r="B202" t="str">
        <f>IFERROR(INDEX(S項目!$B:$B,MATCH(アイテムビューア!$A202,S項目!$A:$A,0)),"")</f>
        <v>サイドテーブル</v>
      </c>
      <c r="C202" t="str">
        <f>IFERROR(INDEX(C項目!$A:$A,MATCH(アイテムビューア!$E202,C項目!$D:$D,0)),"")</f>
        <v>T-0402</v>
      </c>
      <c r="D202" t="str">
        <f>IFERROR(INDEX(T項目!$E:$E,MATCH(アイテムビューア!$C202,T項目!$D:$D,0)),"")</f>
        <v>一段目引出し</v>
      </c>
      <c r="E202" t="str">
        <f>アイテム項目!$A202</f>
        <v>C-040201</v>
      </c>
      <c r="F202" t="str">
        <f>IFERROR(INDEX(C項目!$E:$E,MATCH(アイテムビューア!$E202,C項目!$D:$D,0)),"")</f>
        <v>工具ケース</v>
      </c>
      <c r="G202" t="str">
        <f>アイテム項目!$E202</f>
        <v>I-00196</v>
      </c>
      <c r="H202" t="str">
        <f>アイテム項目!$F202</f>
        <v>マーカー（黒・DAISO）</v>
      </c>
      <c r="I202" t="str">
        <f>アイテム項目!$G202</f>
        <v>文房具</v>
      </c>
      <c r="J202" t="str">
        <f>アイテム項目!$H202</f>
        <v>B</v>
      </c>
      <c r="K202" t="str">
        <f>アイテム項目!$I202</f>
        <v>白トレイ内</v>
      </c>
    </row>
    <row r="203" spans="1:11">
      <c r="A203" t="str">
        <f>IFERROR(INDEX(T項目!$A:$A,MATCH(アイテムビューア!$C203,T項目!$D:$D,0)),"")</f>
        <v>S-004</v>
      </c>
      <c r="B203" t="str">
        <f>IFERROR(INDEX(S項目!$B:$B,MATCH(アイテムビューア!$A203,S項目!$A:$A,0)),"")</f>
        <v>サイドテーブル</v>
      </c>
      <c r="C203" t="str">
        <f>IFERROR(INDEX(C項目!$A:$A,MATCH(アイテムビューア!$E203,C項目!$D:$D,0)),"")</f>
        <v>T-0402</v>
      </c>
      <c r="D203" t="str">
        <f>IFERROR(INDEX(T項目!$E:$E,MATCH(アイテムビューア!$C203,T項目!$D:$D,0)),"")</f>
        <v>一段目引出し</v>
      </c>
      <c r="E203" t="str">
        <f>アイテム項目!$A203</f>
        <v>C-040201</v>
      </c>
      <c r="F203" t="str">
        <f>IFERROR(INDEX(C項目!$E:$E,MATCH(アイテムビューア!$E203,C項目!$D:$D,0)),"")</f>
        <v>工具ケース</v>
      </c>
      <c r="G203" t="str">
        <f>アイテム項目!$E203</f>
        <v>I-00197</v>
      </c>
      <c r="H203" t="str">
        <f>アイテム項目!$F203</f>
        <v>ネジ・釘類</v>
      </c>
      <c r="I203" t="str">
        <f>アイテム項目!$G203</f>
        <v>ネジ</v>
      </c>
      <c r="J203" t="str">
        <f>アイテム項目!$H203</f>
        <v>B</v>
      </c>
      <c r="K203" t="str">
        <f>アイテム項目!$I203</f>
        <v>白トレイ内、まとめて数点</v>
      </c>
    </row>
    <row r="204" spans="1:11">
      <c r="A204" t="str">
        <f>IFERROR(INDEX(T項目!$A:$A,MATCH(アイテムビューア!$C204,T項目!$D:$D,0)),"")</f>
        <v>S-004</v>
      </c>
      <c r="B204" t="str">
        <f>IFERROR(INDEX(S項目!$B:$B,MATCH(アイテムビューア!$A204,S項目!$A:$A,0)),"")</f>
        <v>サイドテーブル</v>
      </c>
      <c r="C204" t="str">
        <f>IFERROR(INDEX(C項目!$A:$A,MATCH(アイテムビューア!$E204,C項目!$D:$D,0)),"")</f>
        <v>T-0402</v>
      </c>
      <c r="D204" t="str">
        <f>IFERROR(INDEX(T項目!$E:$E,MATCH(アイテムビューア!$C204,T項目!$D:$D,0)),"")</f>
        <v>一段目引出し</v>
      </c>
      <c r="E204" t="str">
        <f>アイテム項目!$A204</f>
        <v>C-040201</v>
      </c>
      <c r="F204" t="str">
        <f>IFERROR(INDEX(C項目!$E:$E,MATCH(アイテムビューア!$E204,C項目!$D:$D,0)),"")</f>
        <v>工具ケース</v>
      </c>
      <c r="G204" t="str">
        <f>アイテム項目!$E204</f>
        <v>I-00198</v>
      </c>
      <c r="H204" t="str">
        <f>アイテム項目!$F204</f>
        <v>カッター替刃（Titanium Blade）</v>
      </c>
      <c r="I204" t="str">
        <f>アイテム項目!$G204</f>
        <v>工具</v>
      </c>
      <c r="J204" t="str">
        <f>アイテム項目!$H204</f>
        <v>B</v>
      </c>
      <c r="K204" t="str">
        <f>アイテム項目!$I204</f>
        <v>黒トレイ内</v>
      </c>
    </row>
    <row r="205" spans="1:11">
      <c r="A205" t="str">
        <f>IFERROR(INDEX(T項目!$A:$A,MATCH(アイテムビューア!$C205,T項目!$D:$D,0)),"")</f>
        <v>S-004</v>
      </c>
      <c r="B205" t="str">
        <f>IFERROR(INDEX(S項目!$B:$B,MATCH(アイテムビューア!$A205,S項目!$A:$A,0)),"")</f>
        <v>サイドテーブル</v>
      </c>
      <c r="C205" t="str">
        <f>IFERROR(INDEX(C項目!$A:$A,MATCH(アイテムビューア!$E205,C項目!$D:$D,0)),"")</f>
        <v>T-0402</v>
      </c>
      <c r="D205" t="str">
        <f>IFERROR(INDEX(T項目!$E:$E,MATCH(アイテムビューア!$C205,T項目!$D:$D,0)),"")</f>
        <v>一段目引出し</v>
      </c>
      <c r="E205" t="str">
        <f>アイテム項目!$A205</f>
        <v>C-040201</v>
      </c>
      <c r="F205" t="str">
        <f>IFERROR(INDEX(C項目!$E:$E,MATCH(アイテムビューア!$E205,C項目!$D:$D,0)),"")</f>
        <v>工具ケース</v>
      </c>
      <c r="G205" t="str">
        <f>アイテム項目!$E205</f>
        <v>I-00199</v>
      </c>
      <c r="H205" t="str">
        <f>アイテム項目!$F205</f>
        <v>カッターナイフ（黄・黒刃）</v>
      </c>
      <c r="I205" t="str">
        <f>アイテム項目!$G205</f>
        <v>工具</v>
      </c>
      <c r="J205" t="str">
        <f>アイテム項目!$H205</f>
        <v>B</v>
      </c>
      <c r="K205" t="str">
        <f>アイテム項目!$I205</f>
        <v>黒トレイ内</v>
      </c>
    </row>
    <row r="206" spans="1:11">
      <c r="A206" t="str">
        <f>IFERROR(INDEX(T項目!$A:$A,MATCH(アイテムビューア!$C206,T項目!$D:$D,0)),"")</f>
        <v>S-004</v>
      </c>
      <c r="B206" t="str">
        <f>IFERROR(INDEX(S項目!$B:$B,MATCH(アイテムビューア!$A206,S項目!$A:$A,0)),"")</f>
        <v>サイドテーブル</v>
      </c>
      <c r="C206" t="str">
        <f>IFERROR(INDEX(C項目!$A:$A,MATCH(アイテムビューア!$E206,C項目!$D:$D,0)),"")</f>
        <v>T-0402</v>
      </c>
      <c r="D206" t="str">
        <f>IFERROR(INDEX(T項目!$E:$E,MATCH(アイテムビューア!$C206,T項目!$D:$D,0)),"")</f>
        <v>一段目引出し</v>
      </c>
      <c r="E206" t="str">
        <f>アイテム項目!$A206</f>
        <v>C-040201</v>
      </c>
      <c r="F206" t="str">
        <f>IFERROR(INDEX(C項目!$E:$E,MATCH(アイテムビューア!$E206,C項目!$D:$D,0)),"")</f>
        <v>工具ケース</v>
      </c>
      <c r="G206" t="str">
        <f>アイテム項目!$E206</f>
        <v>I-00200</v>
      </c>
      <c r="H206" t="str">
        <f>アイテム項目!$F206</f>
        <v>カッターナイフ（その他）</v>
      </c>
      <c r="I206" t="str">
        <f>アイテム項目!$G206</f>
        <v>工具</v>
      </c>
      <c r="J206" t="str">
        <f>アイテム項目!$H206</f>
        <v>B</v>
      </c>
      <c r="K206" t="str">
        <f>アイテム項目!$I206</f>
        <v>黒トレイ内、複数本</v>
      </c>
    </row>
    <row r="207" spans="1:11">
      <c r="A207" t="str">
        <f>IFERROR(INDEX(T項目!$A:$A,MATCH(アイテムビューア!$C207,T項目!$D:$D,0)),"")</f>
        <v>S-004</v>
      </c>
      <c r="B207" t="str">
        <f>IFERROR(INDEX(S項目!$B:$B,MATCH(アイテムビューア!$A207,S項目!$A:$A,0)),"")</f>
        <v>サイドテーブル</v>
      </c>
      <c r="C207" t="str">
        <f>IFERROR(INDEX(C項目!$A:$A,MATCH(アイテムビューア!$E207,C項目!$D:$D,0)),"")</f>
        <v>T-0402</v>
      </c>
      <c r="D207" t="str">
        <f>IFERROR(INDEX(T項目!$E:$E,MATCH(アイテムビューア!$C207,T項目!$D:$D,0)),"")</f>
        <v>一段目引出し</v>
      </c>
      <c r="E207" t="str">
        <f>アイテム項目!$A207</f>
        <v>C-040201</v>
      </c>
      <c r="F207" t="str">
        <f>IFERROR(INDEX(C項目!$E:$E,MATCH(アイテムビューア!$E207,C項目!$D:$D,0)),"")</f>
        <v>工具ケース</v>
      </c>
      <c r="G207" t="str">
        <f>アイテム項目!$E207</f>
        <v>I-00201</v>
      </c>
      <c r="H207" t="str">
        <f>アイテム項目!$F207</f>
        <v>ハサミ（ピンク・大）</v>
      </c>
      <c r="I207" t="str">
        <f>アイテム項目!$G207</f>
        <v>工具</v>
      </c>
      <c r="J207" t="str">
        <f>アイテム項目!$H207</f>
        <v>B</v>
      </c>
      <c r="K207" t="str">
        <f>アイテム項目!$I207</f>
        <v>黒トレイ内</v>
      </c>
    </row>
    <row r="208" spans="1:11">
      <c r="A208" t="str">
        <f>IFERROR(INDEX(T項目!$A:$A,MATCH(アイテムビューア!$C208,T項目!$D:$D,0)),"")</f>
        <v>S-004</v>
      </c>
      <c r="B208" t="str">
        <f>IFERROR(INDEX(S項目!$B:$B,MATCH(アイテムビューア!$A208,S項目!$A:$A,0)),"")</f>
        <v>サイドテーブル</v>
      </c>
      <c r="C208" t="str">
        <f>IFERROR(INDEX(C項目!$A:$A,MATCH(アイテムビューア!$E208,C項目!$D:$D,0)),"")</f>
        <v>T-0402</v>
      </c>
      <c r="D208" t="str">
        <f>IFERROR(INDEX(T項目!$E:$E,MATCH(アイテムビューア!$C208,T項目!$D:$D,0)),"")</f>
        <v>一段目引出し</v>
      </c>
      <c r="E208" t="str">
        <f>アイテム項目!$A208</f>
        <v>C-040201</v>
      </c>
      <c r="F208" t="str">
        <f>IFERROR(INDEX(C項目!$E:$E,MATCH(アイテムビューア!$E208,C項目!$D:$D,0)),"")</f>
        <v>工具ケース</v>
      </c>
      <c r="G208" t="str">
        <f>アイテム項目!$E208</f>
        <v>I-00202</v>
      </c>
      <c r="H208" t="str">
        <f>アイテム項目!$F208</f>
        <v>ハサミ（ピンク・小・TITANIUM）</v>
      </c>
      <c r="I208" t="str">
        <f>アイテム項目!$G208</f>
        <v>工具</v>
      </c>
      <c r="J208" t="str">
        <f>アイテム項目!$H208</f>
        <v>B</v>
      </c>
      <c r="K208" t="str">
        <f>アイテム項目!$I208</f>
        <v>黒トレイ内</v>
      </c>
    </row>
    <row r="209" spans="1:11">
      <c r="A209" t="str">
        <f>IFERROR(INDEX(T項目!$A:$A,MATCH(アイテムビューア!$C209,T項目!$D:$D,0)),"")</f>
        <v>S-004</v>
      </c>
      <c r="B209" t="str">
        <f>IFERROR(INDEX(S項目!$B:$B,MATCH(アイテムビューア!$A209,S項目!$A:$A,0)),"")</f>
        <v>サイドテーブル</v>
      </c>
      <c r="C209" t="str">
        <f>IFERROR(INDEX(C項目!$A:$A,MATCH(アイテムビューア!$E209,C項目!$D:$D,0)),"")</f>
        <v>T-0402</v>
      </c>
      <c r="D209" t="str">
        <f>IFERROR(INDEX(T項目!$E:$E,MATCH(アイテムビューア!$C209,T項目!$D:$D,0)),"")</f>
        <v>一段目引出し</v>
      </c>
      <c r="E209" t="str">
        <f>アイテム項目!$A209</f>
        <v>C-040201</v>
      </c>
      <c r="F209" t="str">
        <f>IFERROR(INDEX(C項目!$E:$E,MATCH(アイテムビューア!$E209,C項目!$D:$D,0)),"")</f>
        <v>工具ケース</v>
      </c>
      <c r="G209" t="str">
        <f>アイテム項目!$E209</f>
        <v>I-00203</v>
      </c>
      <c r="H209" t="str">
        <f>アイテム項目!$F209</f>
        <v>ハサミ（黒）</v>
      </c>
      <c r="I209" t="str">
        <f>アイテム項目!$G209</f>
        <v>工具</v>
      </c>
      <c r="J209" t="str">
        <f>アイテム項目!$H209</f>
        <v>B</v>
      </c>
      <c r="K209" t="str">
        <f>アイテム項目!$I209</f>
        <v>黒トレイ内</v>
      </c>
    </row>
    <row r="210" spans="1:11">
      <c r="A210" t="str">
        <f>IFERROR(INDEX(T項目!$A:$A,MATCH(アイテムビューア!$C210,T項目!$D:$D,0)),"")</f>
        <v>S-004</v>
      </c>
      <c r="B210" t="str">
        <f>IFERROR(INDEX(S項目!$B:$B,MATCH(アイテムビューア!$A210,S項目!$A:$A,0)),"")</f>
        <v>サイドテーブル</v>
      </c>
      <c r="C210" t="str">
        <f>IFERROR(INDEX(C項目!$A:$A,MATCH(アイテムビューア!$E210,C項目!$D:$D,0)),"")</f>
        <v>T-0402</v>
      </c>
      <c r="D210" t="str">
        <f>IFERROR(INDEX(T項目!$E:$E,MATCH(アイテムビューア!$C210,T項目!$D:$D,0)),"")</f>
        <v>一段目引出し</v>
      </c>
      <c r="E210" t="str">
        <f>アイテム項目!$A210</f>
        <v>C-040201</v>
      </c>
      <c r="F210" t="str">
        <f>IFERROR(INDEX(C項目!$E:$E,MATCH(アイテムビューア!$E210,C項目!$D:$D,0)),"")</f>
        <v>工具ケース</v>
      </c>
      <c r="G210" t="str">
        <f>アイテム項目!$E210</f>
        <v>I-00204</v>
      </c>
      <c r="H210" t="str">
        <f>アイテム項目!$F210</f>
        <v>プラスドライバー（赤黒・短）</v>
      </c>
      <c r="I210" t="str">
        <f>アイテム項目!$G210</f>
        <v>工具</v>
      </c>
      <c r="J210" t="str">
        <f>アイテム項目!$H210</f>
        <v>B</v>
      </c>
      <c r="K210" t="str">
        <f>アイテム項目!$I210</f>
        <v>透明トレイ内</v>
      </c>
    </row>
    <row r="211" spans="1:11">
      <c r="A211" t="str">
        <f>IFERROR(INDEX(T項目!$A:$A,MATCH(アイテムビューア!$C211,T項目!$D:$D,0)),"")</f>
        <v>S-004</v>
      </c>
      <c r="B211" t="str">
        <f>IFERROR(INDEX(S項目!$B:$B,MATCH(アイテムビューア!$A211,S項目!$A:$A,0)),"")</f>
        <v>サイドテーブル</v>
      </c>
      <c r="C211" t="str">
        <f>IFERROR(INDEX(C項目!$A:$A,MATCH(アイテムビューア!$E211,C項目!$D:$D,0)),"")</f>
        <v>T-0402</v>
      </c>
      <c r="D211" t="str">
        <f>IFERROR(INDEX(T項目!$E:$E,MATCH(アイテムビューア!$C211,T項目!$D:$D,0)),"")</f>
        <v>一段目引出し</v>
      </c>
      <c r="E211" t="str">
        <f>アイテム項目!$A211</f>
        <v>C-040201</v>
      </c>
      <c r="F211" t="str">
        <f>IFERROR(INDEX(C項目!$E:$E,MATCH(アイテムビューア!$E211,C項目!$D:$D,0)),"")</f>
        <v>工具ケース</v>
      </c>
      <c r="G211" t="str">
        <f>アイテム項目!$E211</f>
        <v>I-00205</v>
      </c>
      <c r="H211" t="str">
        <f>アイテム項目!$F211</f>
        <v>プラスドライバー（赤黒・長）</v>
      </c>
      <c r="I211" t="str">
        <f>アイテム項目!$G211</f>
        <v>工具</v>
      </c>
      <c r="J211" t="str">
        <f>アイテム項目!$H211</f>
        <v>B</v>
      </c>
      <c r="K211" t="str">
        <f>アイテム項目!$I211</f>
        <v>透明トレイ内</v>
      </c>
    </row>
    <row r="212" spans="1:11">
      <c r="A212" t="str">
        <f>IFERROR(INDEX(T項目!$A:$A,MATCH(アイテムビューア!$C212,T項目!$D:$D,0)),"")</f>
        <v>S-004</v>
      </c>
      <c r="B212" t="str">
        <f>IFERROR(INDEX(S項目!$B:$B,MATCH(アイテムビューア!$A212,S項目!$A:$A,0)),"")</f>
        <v>サイドテーブル</v>
      </c>
      <c r="C212" t="str">
        <f>IFERROR(INDEX(C項目!$A:$A,MATCH(アイテムビューア!$E212,C項目!$D:$D,0)),"")</f>
        <v>T-0402</v>
      </c>
      <c r="D212" t="str">
        <f>IFERROR(INDEX(T項目!$E:$E,MATCH(アイテムビューア!$C212,T項目!$D:$D,0)),"")</f>
        <v>一段目引出し</v>
      </c>
      <c r="E212" t="str">
        <f>アイテム項目!$A212</f>
        <v>C-040201</v>
      </c>
      <c r="F212" t="str">
        <f>IFERROR(INDEX(C項目!$E:$E,MATCH(アイテムビューア!$E212,C項目!$D:$D,0)),"")</f>
        <v>工具ケース</v>
      </c>
      <c r="G212" t="str">
        <f>アイテム項目!$E212</f>
        <v>I-00206</v>
      </c>
      <c r="H212" t="str">
        <f>アイテム項目!$F212</f>
        <v>パテベラ（木柄）</v>
      </c>
      <c r="I212" t="str">
        <f>アイテム項目!$G212</f>
        <v>工具</v>
      </c>
      <c r="J212" t="str">
        <f>アイテム項目!$H212</f>
        <v>B</v>
      </c>
      <c r="K212" t="str">
        <f>アイテム項目!$I212</f>
        <v>隙間（直接引出し）</v>
      </c>
    </row>
    <row r="213" spans="1:11">
      <c r="A213" t="str">
        <f>IFERROR(INDEX(T項目!$A:$A,MATCH(アイテムビューア!$C213,T項目!$D:$D,0)),"")</f>
        <v>S-004</v>
      </c>
      <c r="B213" t="str">
        <f>IFERROR(INDEX(S項目!$B:$B,MATCH(アイテムビューア!$A213,S項目!$A:$A,0)),"")</f>
        <v>サイドテーブル</v>
      </c>
      <c r="C213" t="str">
        <f>IFERROR(INDEX(C項目!$A:$A,MATCH(アイテムビューア!$E213,C項目!$D:$D,0)),"")</f>
        <v>T-0402</v>
      </c>
      <c r="D213" t="str">
        <f>IFERROR(INDEX(T項目!$E:$E,MATCH(アイテムビューア!$C213,T項目!$D:$D,0)),"")</f>
        <v>一段目引出し</v>
      </c>
      <c r="E213" t="str">
        <f>アイテム項目!$A213</f>
        <v>C-040201</v>
      </c>
      <c r="F213" t="str">
        <f>IFERROR(INDEX(C項目!$E:$E,MATCH(アイテムビューア!$E213,C項目!$D:$D,0)),"")</f>
        <v>工具ケース</v>
      </c>
      <c r="G213" t="str">
        <f>アイテム項目!$E213</f>
        <v>I-00207</v>
      </c>
      <c r="H213" t="str">
        <f>アイテム項目!$F213</f>
        <v>内張りはがし（オレンジ）</v>
      </c>
      <c r="I213" t="str">
        <f>アイテム項目!$G213</f>
        <v>工具</v>
      </c>
      <c r="J213" t="str">
        <f>アイテム項目!$H213</f>
        <v>A</v>
      </c>
      <c r="K213" t="str">
        <f>アイテム項目!$I213</f>
        <v>隙間（直接引出し）</v>
      </c>
    </row>
    <row r="214" spans="1:11">
      <c r="A214" t="str">
        <f>IFERROR(INDEX(T項目!$A:$A,MATCH(アイテムビューア!$C214,T項目!$D:$D,0)),"")</f>
        <v>S-004</v>
      </c>
      <c r="B214" t="str">
        <f>IFERROR(INDEX(S項目!$B:$B,MATCH(アイテムビューア!$A214,S項目!$A:$A,0)),"")</f>
        <v>サイドテーブル</v>
      </c>
      <c r="C214" t="str">
        <f>IFERROR(INDEX(C項目!$A:$A,MATCH(アイテムビューア!$E214,C項目!$D:$D,0)),"")</f>
        <v>T-0402</v>
      </c>
      <c r="D214" t="str">
        <f>IFERROR(INDEX(T項目!$E:$E,MATCH(アイテムビューア!$C214,T項目!$D:$D,0)),"")</f>
        <v>一段目引出し</v>
      </c>
      <c r="E214" t="str">
        <f>アイテム項目!$A214</f>
        <v>C-040201</v>
      </c>
      <c r="F214" t="str">
        <f>IFERROR(INDEX(C項目!$E:$E,MATCH(アイテムビューア!$E214,C項目!$D:$D,0)),"")</f>
        <v>工具ケース</v>
      </c>
      <c r="G214" t="str">
        <f>アイテム項目!$E214</f>
        <v>I-00208</v>
      </c>
      <c r="H214" t="str">
        <f>アイテム項目!$F214</f>
        <v>剪定バサミ（黒）</v>
      </c>
      <c r="I214" t="str">
        <f>アイテム項目!$G214</f>
        <v>工具</v>
      </c>
      <c r="J214" t="str">
        <f>アイテム項目!$H214</f>
        <v>A</v>
      </c>
      <c r="K214" t="str">
        <f>アイテム項目!$I214</f>
        <v>隙間（直接引出し）</v>
      </c>
    </row>
    <row r="215" spans="1:11">
      <c r="A215" t="str">
        <f>IFERROR(INDEX(T項目!$A:$A,MATCH(アイテムビューア!$C215,T項目!$D:$D,0)),"")</f>
        <v>S-004</v>
      </c>
      <c r="B215" t="str">
        <f>IFERROR(INDEX(S項目!$B:$B,MATCH(アイテムビューア!$A215,S項目!$A:$A,0)),"")</f>
        <v>サイドテーブル</v>
      </c>
      <c r="C215" t="str">
        <f>IFERROR(INDEX(C項目!$A:$A,MATCH(アイテムビューア!$E215,C項目!$D:$D,0)),"")</f>
        <v>T-0402</v>
      </c>
      <c r="D215" t="str">
        <f>IFERROR(INDEX(T項目!$E:$E,MATCH(アイテムビューア!$C215,T項目!$D:$D,0)),"")</f>
        <v>一段目引出し</v>
      </c>
      <c r="E215" t="str">
        <f>アイテム項目!$A215</f>
        <v>C-040201</v>
      </c>
      <c r="F215" t="str">
        <f>IFERROR(INDEX(C項目!$E:$E,MATCH(アイテムビューア!$E215,C項目!$D:$D,0)),"")</f>
        <v>工具ケース</v>
      </c>
      <c r="G215" t="str">
        <f>アイテム項目!$E215</f>
        <v>I-00209</v>
      </c>
      <c r="H215" t="str">
        <f>アイテム項目!$F215</f>
        <v>ハサミ（ピンク）</v>
      </c>
      <c r="I215" t="str">
        <f>アイテム項目!$G215</f>
        <v>切断作業</v>
      </c>
      <c r="J215" t="str">
        <f>アイテム項目!$H215</f>
        <v>A</v>
      </c>
      <c r="K215">
        <f>アイテム項目!$I215</f>
        <v>0</v>
      </c>
    </row>
    <row r="216" spans="1:11">
      <c r="A216" t="str">
        <f>IFERROR(INDEX(T項目!$A:$A,MATCH(アイテムビューア!$C216,T項目!$D:$D,0)),"")</f>
        <v/>
      </c>
      <c r="B216" t="str">
        <f>IFERROR(INDEX(S項目!$B:$B,MATCH(アイテムビューア!$A216,S項目!$A:$A,0)),"")</f>
        <v/>
      </c>
      <c r="C216" t="str">
        <f>IFERROR(INDEX(C項目!$A:$A,MATCH(アイテムビューア!$E216,C項目!$D:$D,0)),"")</f>
        <v/>
      </c>
      <c r="D216" t="str">
        <f>IFERROR(INDEX(T項目!$E:$E,MATCH(アイテムビューア!$C216,T項目!$D:$D,0)),"")</f>
        <v/>
      </c>
      <c r="E216">
        <f>アイテム項目!$A216</f>
        <v>0</v>
      </c>
      <c r="F216" t="str">
        <f>IFERROR(INDEX(C項目!$E:$E,MATCH(アイテムビューア!$E216,C項目!$D:$D,0)),"")</f>
        <v/>
      </c>
      <c r="G216">
        <f>アイテム項目!$E216</f>
        <v>0</v>
      </c>
      <c r="H216">
        <f>アイテム項目!$F216</f>
        <v>0</v>
      </c>
      <c r="I216">
        <f>アイテム項目!$G216</f>
        <v>0</v>
      </c>
      <c r="J216">
        <f>アイテム項目!$H216</f>
        <v>0</v>
      </c>
      <c r="K216">
        <f>アイテム項目!$I216</f>
        <v>0</v>
      </c>
    </row>
    <row r="217" spans="1:11">
      <c r="A217" t="str">
        <f>IFERROR(INDEX(T項目!$A:$A,MATCH(アイテムビューア!$C217,T項目!$D:$D,0)),"")</f>
        <v>S-004</v>
      </c>
      <c r="B217" t="str">
        <f>IFERROR(INDEX(S項目!$B:$B,MATCH(アイテムビューア!$A217,S項目!$A:$A,0)),"")</f>
        <v>サイドテーブル</v>
      </c>
      <c r="C217" t="str">
        <f>IFERROR(INDEX(C項目!$A:$A,MATCH(アイテムビューア!$E217,C項目!$D:$D,0)),"")</f>
        <v>T-0402</v>
      </c>
      <c r="D217" t="str">
        <f>IFERROR(INDEX(T項目!$E:$E,MATCH(アイテムビューア!$C217,T項目!$D:$D,0)),"")</f>
        <v>一段目引出し</v>
      </c>
      <c r="E217" t="str">
        <f>アイテム項目!$A217</f>
        <v>C-040201</v>
      </c>
      <c r="F217" t="str">
        <f>IFERROR(INDEX(C項目!$E:$E,MATCH(アイテムビューア!$E217,C項目!$D:$D,0)),"")</f>
        <v>工具ケース</v>
      </c>
      <c r="G217" t="str">
        <f>アイテム項目!$E217</f>
        <v>I-00211</v>
      </c>
      <c r="H217" t="str">
        <f>アイテム項目!$F217</f>
        <v>カッターナイフ（大型・替刃）</v>
      </c>
      <c r="I217" t="str">
        <f>アイテム項目!$G217</f>
        <v>切断作業</v>
      </c>
      <c r="J217" t="str">
        <f>アイテム項目!$H217</f>
        <v>A</v>
      </c>
      <c r="K217">
        <f>アイテム項目!$I217</f>
        <v>0</v>
      </c>
    </row>
    <row r="218" spans="1:11">
      <c r="A218" t="str">
        <f>IFERROR(INDEX(T項目!$A:$A,MATCH(アイテムビューア!$C218,T項目!$D:$D,0)),"")</f>
        <v>S-004</v>
      </c>
      <c r="B218" t="str">
        <f>IFERROR(INDEX(S項目!$B:$B,MATCH(アイテムビューア!$A218,S項目!$A:$A,0)),"")</f>
        <v>サイドテーブル</v>
      </c>
      <c r="C218" t="str">
        <f>IFERROR(INDEX(C項目!$A:$A,MATCH(アイテムビューア!$E218,C項目!$D:$D,0)),"")</f>
        <v>T-0402</v>
      </c>
      <c r="D218" t="str">
        <f>IFERROR(INDEX(T項目!$E:$E,MATCH(アイテムビューア!$C218,T項目!$D:$D,0)),"")</f>
        <v>一段目引出し</v>
      </c>
      <c r="E218" t="str">
        <f>アイテム項目!$A218</f>
        <v>C-040201</v>
      </c>
      <c r="F218" t="str">
        <f>IFERROR(INDEX(C項目!$E:$E,MATCH(アイテムビューア!$E218,C項目!$D:$D,0)),"")</f>
        <v>工具ケース</v>
      </c>
      <c r="G218" t="str">
        <f>アイテム項目!$E218</f>
        <v>I-00212</v>
      </c>
      <c r="H218" t="str">
        <f>アイテム項目!$F218</f>
        <v>プラスドライバー（赤・黒）</v>
      </c>
      <c r="I218" t="str">
        <f>アイテム項目!$G218</f>
        <v>ネジ締め・緩め</v>
      </c>
      <c r="J218" t="str">
        <f>アイテム項目!$H218</f>
        <v>A</v>
      </c>
      <c r="K218">
        <f>アイテム項目!$I218</f>
        <v>0</v>
      </c>
    </row>
    <row r="219" spans="1:11">
      <c r="A219" t="str">
        <f>IFERROR(INDEX(T項目!$A:$A,MATCH(アイテムビューア!$C219,T項目!$D:$D,0)),"")</f>
        <v>S-004</v>
      </c>
      <c r="B219" t="str">
        <f>IFERROR(INDEX(S項目!$B:$B,MATCH(アイテムビューア!$A219,S項目!$A:$A,0)),"")</f>
        <v>サイドテーブル</v>
      </c>
      <c r="C219" t="str">
        <f>IFERROR(INDEX(C項目!$A:$A,MATCH(アイテムビューア!$E219,C項目!$D:$D,0)),"")</f>
        <v>T-0402</v>
      </c>
      <c r="D219" t="str">
        <f>IFERROR(INDEX(T項目!$E:$E,MATCH(アイテムビューア!$C219,T項目!$D:$D,0)),"")</f>
        <v>一段目引出し</v>
      </c>
      <c r="E219" t="str">
        <f>アイテム項目!$A219</f>
        <v>C-040201</v>
      </c>
      <c r="F219" t="str">
        <f>IFERROR(INDEX(C項目!$E:$E,MATCH(アイテムビューア!$E219,C項目!$D:$D,0)),"")</f>
        <v>工具ケース</v>
      </c>
      <c r="G219" t="str">
        <f>アイテム項目!$E219</f>
        <v>I-00213</v>
      </c>
      <c r="H219" t="str">
        <f>アイテム項目!$F219</f>
        <v>マイナスドライバー（黒）</v>
      </c>
      <c r="I219" t="str">
        <f>アイテム項目!$G219</f>
        <v>ネジ締め・緩め</v>
      </c>
      <c r="J219" t="str">
        <f>アイテム項目!$H219</f>
        <v>A</v>
      </c>
      <c r="K219">
        <f>アイテム項目!$I219</f>
        <v>0</v>
      </c>
    </row>
    <row r="220" spans="1:11">
      <c r="A220" t="str">
        <f>IFERROR(INDEX(T項目!$A:$A,MATCH(アイテムビューア!$C220,T項目!$D:$D,0)),"")</f>
        <v>S-004</v>
      </c>
      <c r="B220" t="str">
        <f>IFERROR(INDEX(S項目!$B:$B,MATCH(アイテムビューア!$A220,S項目!$A:$A,0)),"")</f>
        <v>サイドテーブル</v>
      </c>
      <c r="C220" t="str">
        <f>IFERROR(INDEX(C項目!$A:$A,MATCH(アイテムビューア!$E220,C項目!$D:$D,0)),"")</f>
        <v>T-0402</v>
      </c>
      <c r="D220" t="str">
        <f>IFERROR(INDEX(T項目!$E:$E,MATCH(アイテムビューア!$C220,T項目!$D:$D,0)),"")</f>
        <v>一段目引出し</v>
      </c>
      <c r="E220" t="str">
        <f>アイテム項目!$A220</f>
        <v>C-040201</v>
      </c>
      <c r="F220" t="str">
        <f>IFERROR(INDEX(C項目!$E:$E,MATCH(アイテムビューア!$E220,C項目!$D:$D,0)),"")</f>
        <v>工具ケース</v>
      </c>
      <c r="G220" t="str">
        <f>アイテム項目!$E220</f>
        <v>I-00214</v>
      </c>
      <c r="H220" t="str">
        <f>アイテム項目!$F220</f>
        <v>万能ハサミ（金切バサミ）</v>
      </c>
      <c r="I220" t="str">
        <f>アイテム項目!$G220</f>
        <v>硬質材の切断</v>
      </c>
      <c r="J220" t="str">
        <f>アイテム項目!$H220</f>
        <v>A</v>
      </c>
      <c r="K220">
        <f>アイテム項目!$I220</f>
        <v>0</v>
      </c>
    </row>
    <row r="221" spans="1:11">
      <c r="A221" t="str">
        <f>IFERROR(INDEX(T項目!$A:$A,MATCH(アイテムビューア!$C221,T項目!$D:$D,0)),"")</f>
        <v>S-004</v>
      </c>
      <c r="B221" t="str">
        <f>IFERROR(INDEX(S項目!$B:$B,MATCH(アイテムビューア!$A221,S項目!$A:$A,0)),"")</f>
        <v>サイドテーブル</v>
      </c>
      <c r="C221" t="str">
        <f>IFERROR(INDEX(C項目!$A:$A,MATCH(アイテムビューア!$E221,C項目!$D:$D,0)),"")</f>
        <v>T-0402</v>
      </c>
      <c r="D221" t="str">
        <f>IFERROR(INDEX(T項目!$E:$E,MATCH(アイテムビューア!$C221,T項目!$D:$D,0)),"")</f>
        <v>一段目引出し</v>
      </c>
      <c r="E221" t="str">
        <f>アイテム項目!$A221</f>
        <v>C-040201</v>
      </c>
      <c r="F221" t="str">
        <f>IFERROR(INDEX(C項目!$E:$E,MATCH(アイテムビューア!$E221,C項目!$D:$D,0)),"")</f>
        <v>工具ケース</v>
      </c>
      <c r="G221" t="str">
        <f>アイテム項目!$E221</f>
        <v>I-00215</v>
      </c>
      <c r="H221" t="str">
        <f>アイテム項目!$F221</f>
        <v>スクレーパー（木製柄）</v>
      </c>
      <c r="I221" t="str">
        <f>アイテム項目!$G221</f>
        <v>削り・剥がし作業</v>
      </c>
      <c r="J221" t="str">
        <f>アイテム項目!$H221</f>
        <v>A</v>
      </c>
      <c r="K221">
        <f>アイテム項目!$I221</f>
        <v>0</v>
      </c>
    </row>
    <row r="222" spans="1:11">
      <c r="A222" t="str">
        <f>IFERROR(INDEX(T項目!$A:$A,MATCH(アイテムビューア!$C222,T項目!$D:$D,0)),"")</f>
        <v>S-004</v>
      </c>
      <c r="B222" t="str">
        <f>IFERROR(INDEX(S項目!$B:$B,MATCH(アイテムビューア!$A222,S項目!$A:$A,0)),"")</f>
        <v>サイドテーブル</v>
      </c>
      <c r="C222" t="str">
        <f>IFERROR(INDEX(C項目!$A:$A,MATCH(アイテムビューア!$E222,C項目!$D:$D,0)),"")</f>
        <v>T-0402</v>
      </c>
      <c r="D222" t="str">
        <f>IFERROR(INDEX(T項目!$E:$E,MATCH(アイテムビューア!$C222,T項目!$D:$D,0)),"")</f>
        <v>一段目引出し</v>
      </c>
      <c r="E222" t="str">
        <f>アイテム項目!$A222</f>
        <v>C-040201</v>
      </c>
      <c r="F222" t="str">
        <f>IFERROR(INDEX(C項目!$E:$E,MATCH(アイテムビューア!$E222,C項目!$D:$D,0)),"")</f>
        <v>工具ケース</v>
      </c>
      <c r="G222" t="str">
        <f>アイテム項目!$E222</f>
        <v>I-00216</v>
      </c>
      <c r="H222" t="str">
        <f>アイテム項目!$F222</f>
        <v>内張りはがし（オレンジ・樹脂製）</v>
      </c>
      <c r="I222" t="str">
        <f>アイテム項目!$G222</f>
        <v>パネル・内装外し</v>
      </c>
      <c r="J222" t="str">
        <f>アイテム項目!$H222</f>
        <v>A</v>
      </c>
      <c r="K222">
        <f>アイテム項目!$I222</f>
        <v>0</v>
      </c>
    </row>
    <row r="223" spans="1:11">
      <c r="A223" t="str">
        <f>IFERROR(INDEX(T項目!$A:$A,MATCH(アイテムビューア!$C223,T項目!$D:$D,0)),"")</f>
        <v>S-004</v>
      </c>
      <c r="B223" t="str">
        <f>IFERROR(INDEX(S項目!$B:$B,MATCH(アイテムビューア!$A223,S項目!$A:$A,0)),"")</f>
        <v>サイドテーブル</v>
      </c>
      <c r="C223" t="str">
        <f>IFERROR(INDEX(C項目!$A:$A,MATCH(アイテムビューア!$E223,C項目!$D:$D,0)),"")</f>
        <v>T-0402</v>
      </c>
      <c r="D223" t="str">
        <f>IFERROR(INDEX(T項目!$E:$E,MATCH(アイテムビューア!$C223,T項目!$D:$D,0)),"")</f>
        <v>一段目引出し</v>
      </c>
      <c r="E223" t="str">
        <f>アイテム項目!$A223</f>
        <v>C-040201</v>
      </c>
      <c r="F223" t="str">
        <f>IFERROR(INDEX(C項目!$E:$E,MATCH(アイテムビューア!$E223,C項目!$D:$D,0)),"")</f>
        <v>工具ケース</v>
      </c>
      <c r="G223" t="str">
        <f>アイテム項目!$E223</f>
        <v>I-00217</v>
      </c>
      <c r="H223" t="str">
        <f>アイテム項目!$F223</f>
        <v>直尺（ステンレススケール）</v>
      </c>
      <c r="I223" t="str">
        <f>アイテム項目!$G223</f>
        <v>寸法測定・線引き</v>
      </c>
      <c r="J223" t="str">
        <f>アイテム項目!$H223</f>
        <v>C</v>
      </c>
      <c r="K223">
        <f>アイテム項目!$I223</f>
        <v>0</v>
      </c>
    </row>
    <row r="224" spans="1:11">
      <c r="A224" t="str">
        <f>IFERROR(INDEX(T項目!$A:$A,MATCH(アイテムビューア!$C224,T項目!$D:$D,0)),"")</f>
        <v>S-004</v>
      </c>
      <c r="B224" t="str">
        <f>IFERROR(INDEX(S項目!$B:$B,MATCH(アイテムビューア!$A224,S項目!$A:$A,0)),"")</f>
        <v>サイドテーブル</v>
      </c>
      <c r="C224" t="str">
        <f>IFERROR(INDEX(C項目!$A:$A,MATCH(アイテムビューア!$E224,C項目!$D:$D,0)),"")</f>
        <v>T-0402</v>
      </c>
      <c r="D224" t="str">
        <f>IFERROR(INDEX(T項目!$E:$E,MATCH(アイテムビューア!$C224,T項目!$D:$D,0)),"")</f>
        <v>一段目引出し</v>
      </c>
      <c r="E224" t="str">
        <f>アイテム項目!$A224</f>
        <v>C-040201</v>
      </c>
      <c r="F224" t="str">
        <f>IFERROR(INDEX(C項目!$E:$E,MATCH(アイテムビューア!$E224,C項目!$D:$D,0)),"")</f>
        <v>工具ケース</v>
      </c>
      <c r="G224" t="str">
        <f>アイテム項目!$E224</f>
        <v>I-00218</v>
      </c>
      <c r="H224" t="str">
        <f>アイテム項目!$F224</f>
        <v>油性マーカー（黒・マッキー）</v>
      </c>
      <c r="I224" t="str">
        <f>アイテム項目!$G224</f>
        <v>マーキング</v>
      </c>
      <c r="J224" t="str">
        <f>アイテム項目!$H224</f>
        <v>A</v>
      </c>
      <c r="K224">
        <f>アイテム項目!$I224</f>
        <v>0</v>
      </c>
    </row>
    <row r="225" spans="1:11">
      <c r="A225" t="str">
        <f>IFERROR(INDEX(T項目!$A:$A,MATCH(アイテムビューア!$C225,T項目!$D:$D,0)),"")</f>
        <v>S-004</v>
      </c>
      <c r="B225" t="str">
        <f>IFERROR(INDEX(S項目!$B:$B,MATCH(アイテムビューア!$A225,S項目!$A:$A,0)),"")</f>
        <v>サイドテーブル</v>
      </c>
      <c r="C225" t="str">
        <f>IFERROR(INDEX(C項目!$A:$A,MATCH(アイテムビューア!$E225,C項目!$D:$D,0)),"")</f>
        <v>T-0402</v>
      </c>
      <c r="D225" t="str">
        <f>IFERROR(INDEX(T項目!$E:$E,MATCH(アイテムビューア!$C225,T項目!$D:$D,0)),"")</f>
        <v>一段目引出し</v>
      </c>
      <c r="E225" t="str">
        <f>アイテム項目!$A225</f>
        <v>C-040201</v>
      </c>
      <c r="F225" t="str">
        <f>IFERROR(INDEX(C項目!$E:$E,MATCH(アイテムビューア!$E225,C項目!$D:$D,0)),"")</f>
        <v>工具ケース</v>
      </c>
      <c r="G225" t="str">
        <f>アイテム項目!$E225</f>
        <v>I-00219</v>
      </c>
      <c r="H225" t="str">
        <f>アイテム項目!$F225</f>
        <v>水糸・紐（オレンジ）</v>
      </c>
      <c r="I225" t="str">
        <f>アイテム項目!$G225</f>
        <v>位置決め・結束</v>
      </c>
      <c r="J225" t="str">
        <f>アイテム項目!$H225</f>
        <v>C</v>
      </c>
      <c r="K225">
        <f>アイテム項目!$I225</f>
        <v>0</v>
      </c>
    </row>
    <row r="226" spans="1:11">
      <c r="A226" t="str">
        <f>IFERROR(INDEX(T項目!$A:$A,MATCH(アイテムビューア!$C226,T項目!$D:$D,0)),"")</f>
        <v>S-004</v>
      </c>
      <c r="B226" t="str">
        <f>IFERROR(INDEX(S項目!$B:$B,MATCH(アイテムビューア!$A226,S項目!$A:$A,0)),"")</f>
        <v>サイドテーブル</v>
      </c>
      <c r="C226" t="str">
        <f>IFERROR(INDEX(C項目!$A:$A,MATCH(アイテムビューア!$E226,C項目!$D:$D,0)),"")</f>
        <v>T-0402</v>
      </c>
      <c r="D226" t="str">
        <f>IFERROR(INDEX(T項目!$E:$E,MATCH(アイテムビューア!$C226,T項目!$D:$D,0)),"")</f>
        <v>一段目引出し</v>
      </c>
      <c r="E226" t="str">
        <f>アイテム項目!$A226</f>
        <v>C-040201</v>
      </c>
      <c r="F226" t="str">
        <f>IFERROR(INDEX(C項目!$E:$E,MATCH(アイテムビューア!$E226,C項目!$D:$D,0)),"")</f>
        <v>工具ケース</v>
      </c>
      <c r="G226" t="str">
        <f>アイテム項目!$E226</f>
        <v>I-00220</v>
      </c>
      <c r="H226" t="str">
        <f>アイテム項目!$F226</f>
        <v>モンキーレンチ（LOBSTER 300）</v>
      </c>
      <c r="I226" t="str">
        <f>アイテム項目!$G226</f>
        <v>ボルト・ナット回し</v>
      </c>
      <c r="J226" t="str">
        <f>アイテム項目!$H226</f>
        <v>A</v>
      </c>
      <c r="K226">
        <f>アイテム項目!$I226</f>
        <v>0</v>
      </c>
    </row>
    <row r="227" spans="1:11">
      <c r="A227" t="str">
        <f>IFERROR(INDEX(T項目!$A:$A,MATCH(アイテムビューア!$C227,T項目!$D:$D,0)),"")</f>
        <v>S-004</v>
      </c>
      <c r="B227" t="str">
        <f>IFERROR(INDEX(S項目!$B:$B,MATCH(アイテムビューア!$A227,S項目!$A:$A,0)),"")</f>
        <v>サイドテーブル</v>
      </c>
      <c r="C227" t="str">
        <f>IFERROR(INDEX(C項目!$A:$A,MATCH(アイテムビューア!$E227,C項目!$D:$D,0)),"")</f>
        <v>T-0402</v>
      </c>
      <c r="D227" t="str">
        <f>IFERROR(INDEX(T項目!$E:$E,MATCH(アイテムビューア!$C227,T項目!$D:$D,0)),"")</f>
        <v>一段目引出し</v>
      </c>
      <c r="E227" t="str">
        <f>アイテム項目!$A227</f>
        <v>C-040201</v>
      </c>
      <c r="F227" t="str">
        <f>IFERROR(INDEX(C項目!$E:$E,MATCH(アイテムビューア!$E227,C項目!$D:$D,0)),"")</f>
        <v>工具ケース</v>
      </c>
      <c r="G227" t="str">
        <f>アイテム項目!$E227</f>
        <v>I-00221</v>
      </c>
      <c r="H227" t="str">
        <f>アイテム項目!$F227</f>
        <v>ウォーターポンププライヤー</v>
      </c>
      <c r="I227" t="str">
        <f>アイテム項目!$G227</f>
        <v>配管・掴み作業</v>
      </c>
      <c r="J227" t="str">
        <f>アイテム項目!$H227</f>
        <v>A</v>
      </c>
      <c r="K227">
        <f>アイテム項目!$I227</f>
        <v>0</v>
      </c>
    </row>
    <row r="228" spans="1:11">
      <c r="A228" t="str">
        <f>IFERROR(INDEX(T項目!$A:$A,MATCH(アイテムビューア!$C228,T項目!$D:$D,0)),"")</f>
        <v>S-004</v>
      </c>
      <c r="B228" t="str">
        <f>IFERROR(INDEX(S項目!$B:$B,MATCH(アイテムビューア!$A228,S項目!$A:$A,0)),"")</f>
        <v>サイドテーブル</v>
      </c>
      <c r="C228" t="str">
        <f>IFERROR(INDEX(C項目!$A:$A,MATCH(アイテムビューア!$E228,C項目!$D:$D,0)),"")</f>
        <v>T-0402</v>
      </c>
      <c r="D228" t="str">
        <f>IFERROR(INDEX(T項目!$E:$E,MATCH(アイテムビューア!$C228,T項目!$D:$D,0)),"")</f>
        <v>一段目引出し</v>
      </c>
      <c r="E228" t="str">
        <f>アイテム項目!$A228</f>
        <v>C-040201</v>
      </c>
      <c r="F228" t="str">
        <f>IFERROR(INDEX(C項目!$E:$E,MATCH(アイテムビューア!$E228,C項目!$D:$D,0)),"")</f>
        <v>工具ケース</v>
      </c>
      <c r="G228" t="str">
        <f>アイテム項目!$E228</f>
        <v>I-00222</v>
      </c>
      <c r="H228" t="str">
        <f>アイテム項目!$F228</f>
        <v>圧着工具（電工ペンチ・青黒）</v>
      </c>
      <c r="I228" t="str">
        <f>アイテム項目!$G228</f>
        <v>端子圧着・配線作業</v>
      </c>
      <c r="J228" t="str">
        <f>アイテム項目!$H228</f>
        <v>A</v>
      </c>
      <c r="K228">
        <f>アイテム項目!$I228</f>
        <v>0</v>
      </c>
    </row>
    <row r="229" spans="1:11">
      <c r="A229" t="str">
        <f>IFERROR(INDEX(T項目!$A:$A,MATCH(アイテムビューア!$C229,T項目!$D:$D,0)),"")</f>
        <v>S-004</v>
      </c>
      <c r="B229" t="str">
        <f>IFERROR(INDEX(S項目!$B:$B,MATCH(アイテムビューア!$A229,S項目!$A:$A,0)),"")</f>
        <v>サイドテーブル</v>
      </c>
      <c r="C229" t="str">
        <f>IFERROR(INDEX(C項目!$A:$A,MATCH(アイテムビューア!$E229,C項目!$D:$D,0)),"")</f>
        <v>T-0402</v>
      </c>
      <c r="D229" t="str">
        <f>IFERROR(INDEX(T項目!$E:$E,MATCH(アイテムビューア!$C229,T項目!$D:$D,0)),"")</f>
        <v>一段目引出し</v>
      </c>
      <c r="E229" t="str">
        <f>アイテム項目!$A229</f>
        <v>C-040201</v>
      </c>
      <c r="F229" t="str">
        <f>IFERROR(INDEX(C項目!$E:$E,MATCH(アイテムビューア!$E229,C項目!$D:$D,0)),"")</f>
        <v>工具ケース</v>
      </c>
      <c r="G229" t="str">
        <f>アイテム項目!$E229</f>
        <v>I-00223</v>
      </c>
      <c r="H229" t="str">
        <f>アイテム項目!$F229</f>
        <v>ネールハンマー（金槌）</v>
      </c>
      <c r="I229" t="str">
        <f>アイテム項目!$G229</f>
        <v>釘打ち・釘抜き</v>
      </c>
      <c r="J229" t="str">
        <f>アイテム項目!$H229</f>
        <v>A</v>
      </c>
      <c r="K229">
        <f>アイテム項目!$I229</f>
        <v>0</v>
      </c>
    </row>
    <row r="230" spans="1:11">
      <c r="A230" t="str">
        <f>IFERROR(INDEX(T項目!$A:$A,MATCH(アイテムビューア!$C230,T項目!$D:$D,0)),"")</f>
        <v>S-004</v>
      </c>
      <c r="B230" t="str">
        <f>IFERROR(INDEX(S項目!$B:$B,MATCH(アイテムビューア!$A230,S項目!$A:$A,0)),"")</f>
        <v>サイドテーブル</v>
      </c>
      <c r="C230" t="str">
        <f>IFERROR(INDEX(C項目!$A:$A,MATCH(アイテムビューア!$E230,C項目!$D:$D,0)),"")</f>
        <v>T-0402</v>
      </c>
      <c r="D230" t="str">
        <f>IFERROR(INDEX(T項目!$E:$E,MATCH(アイテムビューア!$C230,T項目!$D:$D,0)),"")</f>
        <v>一段目引出し</v>
      </c>
      <c r="E230" t="str">
        <f>アイテム項目!$A230</f>
        <v>C-040201</v>
      </c>
      <c r="F230" t="str">
        <f>IFERROR(INDEX(C項目!$E:$E,MATCH(アイテムビューア!$E230,C項目!$D:$D,0)),"")</f>
        <v>工具ケース</v>
      </c>
      <c r="G230" t="str">
        <f>アイテム項目!$E230</f>
        <v>I-00224</v>
      </c>
      <c r="H230" t="str">
        <f>アイテム項目!$F230</f>
        <v>ボルトクリッパー（エンドニッパー・赤柄）</v>
      </c>
      <c r="I230" t="str">
        <f>アイテム項目!$G230</f>
        <v>線材・突起切断</v>
      </c>
      <c r="J230" t="str">
        <f>アイテム項目!$H230</f>
        <v>A</v>
      </c>
      <c r="K230">
        <f>アイテム項目!$I230</f>
        <v>0</v>
      </c>
    </row>
    <row r="231" spans="1:11">
      <c r="A231" t="str">
        <f>IFERROR(INDEX(T項目!$A:$A,MATCH(アイテムビューア!$C231,T項目!$D:$D,0)),"")</f>
        <v>S-004</v>
      </c>
      <c r="B231" t="str">
        <f>IFERROR(INDEX(S項目!$B:$B,MATCH(アイテムビューア!$A231,S項目!$A:$A,0)),"")</f>
        <v>サイドテーブル</v>
      </c>
      <c r="C231" t="str">
        <f>IFERROR(INDEX(C項目!$A:$A,MATCH(アイテムビューア!$E231,C項目!$D:$D,0)),"")</f>
        <v>T-0402</v>
      </c>
      <c r="D231" t="str">
        <f>IFERROR(INDEX(T項目!$E:$E,MATCH(アイテムビューア!$C231,T項目!$D:$D,0)),"")</f>
        <v>一段目引出し</v>
      </c>
      <c r="E231" t="str">
        <f>アイテム項目!$A231</f>
        <v>C-040201</v>
      </c>
      <c r="F231" t="str">
        <f>IFERROR(INDEX(C項目!$E:$E,MATCH(アイテムビューア!$E231,C項目!$D:$D,0)),"")</f>
        <v>工具ケース</v>
      </c>
      <c r="G231" t="str">
        <f>アイテム項目!$E231</f>
        <v>I-00225</v>
      </c>
      <c r="H231" t="str">
        <f>アイテム項目!$F231</f>
        <v>フレアツール（配管加工用）</v>
      </c>
      <c r="I231" t="str">
        <f>アイテム項目!$G231</f>
        <v>銅管フレア加工</v>
      </c>
      <c r="J231" t="str">
        <f>アイテム項目!$H231</f>
        <v>C</v>
      </c>
      <c r="K231">
        <f>アイテム項目!$I231</f>
        <v>0</v>
      </c>
    </row>
    <row r="232" spans="1:11">
      <c r="A232" t="str">
        <f>IFERROR(INDEX(T項目!$A:$A,MATCH(アイテムビューア!$C232,T項目!$D:$D,0)),"")</f>
        <v>S-004</v>
      </c>
      <c r="B232" t="str">
        <f>IFERROR(INDEX(S項目!$B:$B,MATCH(アイテムビューア!$A232,S項目!$A:$A,0)),"")</f>
        <v>サイドテーブル</v>
      </c>
      <c r="C232" t="str">
        <f>IFERROR(INDEX(C項目!$A:$A,MATCH(アイテムビューア!$E232,C項目!$D:$D,0)),"")</f>
        <v>T-0402</v>
      </c>
      <c r="D232" t="str">
        <f>IFERROR(INDEX(T項目!$E:$E,MATCH(アイテムビューア!$C232,T項目!$D:$D,0)),"")</f>
        <v>一段目引出し</v>
      </c>
      <c r="E232" t="str">
        <f>アイテム項目!$A232</f>
        <v>C-040201</v>
      </c>
      <c r="F232" t="str">
        <f>IFERROR(INDEX(C項目!$E:$E,MATCH(アイテムビューア!$E232,C項目!$D:$D,0)),"")</f>
        <v>工具ケース</v>
      </c>
      <c r="G232" t="str">
        <f>アイテム項目!$E232</f>
        <v>I-00226</v>
      </c>
      <c r="H232" t="str">
        <f>アイテム項目!$F232</f>
        <v>パイプカッター（赤フレーム）</v>
      </c>
      <c r="I232" t="str">
        <f>アイテム項目!$G232</f>
        <v>配管切断</v>
      </c>
      <c r="J232" t="str">
        <f>アイテム項目!$H232</f>
        <v>C</v>
      </c>
      <c r="K232">
        <f>アイテム項目!$I232</f>
        <v>0</v>
      </c>
    </row>
    <row r="233" spans="1:11">
      <c r="A233" t="str">
        <f>IFERROR(INDEX(T項目!$A:$A,MATCH(アイテムビューア!$C233,T項目!$D:$D,0)),"")</f>
        <v>S-004</v>
      </c>
      <c r="B233" t="str">
        <f>IFERROR(INDEX(S項目!$B:$B,MATCH(アイテムビューア!$A233,S項目!$A:$A,0)),"")</f>
        <v>サイドテーブル</v>
      </c>
      <c r="C233" t="str">
        <f>IFERROR(INDEX(C項目!$A:$A,MATCH(アイテムビューア!$E233,C項目!$D:$D,0)),"")</f>
        <v>T-0402</v>
      </c>
      <c r="D233" t="str">
        <f>IFERROR(INDEX(T項目!$E:$E,MATCH(アイテムビューア!$C233,T項目!$D:$D,0)),"")</f>
        <v>一段目引出し</v>
      </c>
      <c r="E233" t="str">
        <f>アイテム項目!$A233</f>
        <v>C-040201</v>
      </c>
      <c r="F233" t="str">
        <f>IFERROR(INDEX(C項目!$E:$E,MATCH(アイテムビューア!$E233,C項目!$D:$D,0)),"")</f>
        <v>工具ケース</v>
      </c>
      <c r="G233" t="str">
        <f>アイテム項目!$E233</f>
        <v>I-00227</v>
      </c>
      <c r="H233" t="str">
        <f>アイテム項目!$F233</f>
        <v>タガネ・チス・ポンチ（木柄・金属製 各種）</v>
      </c>
      <c r="I233" t="str">
        <f>アイテム項目!$G233</f>
        <v>ハツリ・穴あけ</v>
      </c>
      <c r="J233" t="str">
        <f>アイテム項目!$H233</f>
        <v>C</v>
      </c>
      <c r="K233">
        <f>アイテム項目!$I233</f>
        <v>0</v>
      </c>
    </row>
    <row r="234" spans="1:11">
      <c r="A234" t="str">
        <f>IFERROR(INDEX(T項目!$A:$A,MATCH(アイテムビューア!$C234,T項目!$D:$D,0)),"")</f>
        <v>S-004</v>
      </c>
      <c r="B234" t="str">
        <f>IFERROR(INDEX(S項目!$B:$B,MATCH(アイテムビューア!$A234,S項目!$A:$A,0)),"")</f>
        <v>サイドテーブル</v>
      </c>
      <c r="C234" t="str">
        <f>IFERROR(INDEX(C項目!$A:$A,MATCH(アイテムビューア!$E234,C項目!$D:$D,0)),"")</f>
        <v>T-0402</v>
      </c>
      <c r="D234" t="str">
        <f>IFERROR(INDEX(T項目!$E:$E,MATCH(アイテムビューア!$C234,T項目!$D:$D,0)),"")</f>
        <v>一段目引出し</v>
      </c>
      <c r="E234" t="str">
        <f>アイテム項目!$A234</f>
        <v>C-040201</v>
      </c>
      <c r="F234" t="str">
        <f>IFERROR(INDEX(C項目!$E:$E,MATCH(アイテムビューア!$E234,C項目!$D:$D,0)),"")</f>
        <v>工具ケース</v>
      </c>
      <c r="G234" t="str">
        <f>アイテム項目!$E234</f>
        <v>I-00228</v>
      </c>
      <c r="H234" t="str">
        <f>アイテム項目!$F234</f>
        <v>コンベックス（THE TOOLS 3m）</v>
      </c>
      <c r="I234" t="str">
        <f>アイテム項目!$G234</f>
        <v>長さ測定</v>
      </c>
      <c r="J234" t="str">
        <f>アイテム項目!$H234</f>
        <v>A</v>
      </c>
      <c r="K234">
        <f>アイテム項目!$I234</f>
        <v>0</v>
      </c>
    </row>
    <row r="235" spans="1:11">
      <c r="A235" t="str">
        <f>IFERROR(INDEX(T項目!$A:$A,MATCH(アイテムビューア!$C235,T項目!$D:$D,0)),"")</f>
        <v>S-004</v>
      </c>
      <c r="B235" t="str">
        <f>IFERROR(INDEX(S項目!$B:$B,MATCH(アイテムビューア!$A235,S項目!$A:$A,0)),"")</f>
        <v>サイドテーブル</v>
      </c>
      <c r="C235" t="str">
        <f>IFERROR(INDEX(C項目!$A:$A,MATCH(アイテムビューア!$E235,C項目!$D:$D,0)),"")</f>
        <v>T-0402</v>
      </c>
      <c r="D235" t="str">
        <f>IFERROR(INDEX(T項目!$E:$E,MATCH(アイテムビューア!$C235,T項目!$D:$D,0)),"")</f>
        <v>一段目引出し</v>
      </c>
      <c r="E235" t="str">
        <f>アイテム項目!$A235</f>
        <v>C-040201</v>
      </c>
      <c r="F235" t="str">
        <f>IFERROR(INDEX(C項目!$E:$E,MATCH(アイテムビューア!$E235,C項目!$D:$D,0)),"")</f>
        <v>工具ケース</v>
      </c>
      <c r="G235" t="str">
        <f>アイテム項目!$E235</f>
        <v>I-00229</v>
      </c>
      <c r="H235" t="str">
        <f>アイテム項目!$F235</f>
        <v>クラフトハサミ（大・小）</v>
      </c>
      <c r="I235" t="str">
        <f>アイテム項目!$G235</f>
        <v>切断作業</v>
      </c>
      <c r="J235" t="str">
        <f>アイテム項目!$H235</f>
        <v>A</v>
      </c>
      <c r="K235">
        <f>アイテム項目!$I235</f>
        <v>0</v>
      </c>
    </row>
    <row r="236" spans="1:11">
      <c r="A236" t="str">
        <f>IFERROR(INDEX(T項目!$A:$A,MATCH(アイテムビューア!$C236,T項目!$D:$D,0)),"")</f>
        <v>S-004</v>
      </c>
      <c r="B236" t="str">
        <f>IFERROR(INDEX(S項目!$B:$B,MATCH(アイテムビューア!$A236,S項目!$A:$A,0)),"")</f>
        <v>サイドテーブル</v>
      </c>
      <c r="C236" t="str">
        <f>IFERROR(INDEX(C項目!$A:$A,MATCH(アイテムビューア!$E236,C項目!$D:$D,0)),"")</f>
        <v>T-0402</v>
      </c>
      <c r="D236" t="str">
        <f>IFERROR(INDEX(T項目!$E:$E,MATCH(アイテムビューア!$C236,T項目!$D:$D,0)),"")</f>
        <v>一段目引出し</v>
      </c>
      <c r="E236" t="str">
        <f>アイテム項目!$A236</f>
        <v>C-040201</v>
      </c>
      <c r="F236" t="str">
        <f>IFERROR(INDEX(C項目!$E:$E,MATCH(アイテムビューア!$E236,C項目!$D:$D,0)),"")</f>
        <v>工具ケース</v>
      </c>
      <c r="G236" t="str">
        <f>アイテム項目!$E236</f>
        <v>I-00230</v>
      </c>
      <c r="H236" t="str">
        <f>アイテム項目!$F236</f>
        <v>カッターナイフ（標準型）</v>
      </c>
      <c r="I236" t="str">
        <f>アイテム項目!$G236</f>
        <v>切断作業</v>
      </c>
      <c r="J236" t="str">
        <f>アイテム項目!$H236</f>
        <v>A</v>
      </c>
      <c r="K236">
        <f>アイテム項目!$I236</f>
        <v>0</v>
      </c>
    </row>
    <row r="237" spans="1:11">
      <c r="A237" t="str">
        <f>IFERROR(INDEX(T項目!$A:$A,MATCH(アイテムビューア!$C237,T項目!$D:$D,0)),"")</f>
        <v>S-004</v>
      </c>
      <c r="B237" t="str">
        <f>IFERROR(INDEX(S項目!$B:$B,MATCH(アイテムビューア!$A237,S項目!$A:$A,0)),"")</f>
        <v>サイドテーブル</v>
      </c>
      <c r="C237" t="str">
        <f>IFERROR(INDEX(C項目!$A:$A,MATCH(アイテムビューア!$E237,C項目!$D:$D,0)),"")</f>
        <v>T-0402</v>
      </c>
      <c r="D237" t="str">
        <f>IFERROR(INDEX(T項目!$E:$E,MATCH(アイテムビューア!$C237,T項目!$D:$D,0)),"")</f>
        <v>一段目引出し</v>
      </c>
      <c r="E237" t="str">
        <f>アイテム項目!$A237</f>
        <v>C-040201</v>
      </c>
      <c r="F237" t="str">
        <f>IFERROR(INDEX(C項目!$E:$E,MATCH(アイテムビューア!$E237,C項目!$D:$D,0)),"")</f>
        <v>工具ケース</v>
      </c>
      <c r="G237" t="str">
        <f>アイテム項目!$E237</f>
        <v>I-00231</v>
      </c>
      <c r="H237" t="str">
        <f>アイテム項目!$F237</f>
        <v>引き廻し鋸（木柄のこぎり）</v>
      </c>
      <c r="I237" t="str">
        <f>アイテム項目!$G237</f>
        <v>木材・開口切断</v>
      </c>
      <c r="J237" t="str">
        <f>アイテム項目!$H237</f>
        <v>C</v>
      </c>
      <c r="K237">
        <f>アイテム項目!$I237</f>
        <v>0</v>
      </c>
    </row>
    <row r="238" spans="1:11">
      <c r="A238" t="str">
        <f>IFERROR(INDEX(T項目!$A:$A,MATCH(アイテムビューア!$C238,T項目!$D:$D,0)),"")</f>
        <v>S-004</v>
      </c>
      <c r="B238" t="str">
        <f>IFERROR(INDEX(S項目!$B:$B,MATCH(アイテムビューア!$A238,S項目!$A:$A,0)),"")</f>
        <v>サイドテーブル</v>
      </c>
      <c r="C238" t="str">
        <f>IFERROR(INDEX(C項目!$A:$A,MATCH(アイテムビューア!$E238,C項目!$D:$D,0)),"")</f>
        <v>T-0402</v>
      </c>
      <c r="D238" t="str">
        <f>IFERROR(INDEX(T項目!$E:$E,MATCH(アイテムビューア!$C238,T項目!$D:$D,0)),"")</f>
        <v>一段目引出し</v>
      </c>
      <c r="E238" t="str">
        <f>アイテム項目!$A238</f>
        <v>C-040201</v>
      </c>
      <c r="F238" t="str">
        <f>IFERROR(INDEX(C項目!$E:$E,MATCH(アイテムビューア!$E238,C項目!$D:$D,0)),"")</f>
        <v>工具ケース</v>
      </c>
      <c r="G238" t="str">
        <f>アイテム項目!$E238</f>
        <v>I-00232</v>
      </c>
      <c r="H238" t="str">
        <f>アイテム項目!$F238</f>
        <v>竹尺・木製ヘラ</v>
      </c>
      <c r="I238" t="str">
        <f>アイテム項目!$G238</f>
        <v>均し・測定</v>
      </c>
      <c r="J238" t="str">
        <f>アイテム項目!$H238</f>
        <v>C</v>
      </c>
      <c r="K238">
        <f>アイテム項目!$I238</f>
        <v>0</v>
      </c>
    </row>
    <row r="239" spans="1:11">
      <c r="A239" t="str">
        <f>IFERROR(INDEX(T項目!$A:$A,MATCH(アイテムビューア!$C239,T項目!$D:$D,0)),"")</f>
        <v/>
      </c>
      <c r="B239" t="str">
        <f>IFERROR(INDEX(S項目!$B:$B,MATCH(アイテムビューア!$A239,S項目!$A:$A,0)),"")</f>
        <v/>
      </c>
      <c r="C239" t="str">
        <f>IFERROR(INDEX(C項目!$A:$A,MATCH(アイテムビューア!$E239,C項目!$D:$D,0)),"")</f>
        <v/>
      </c>
      <c r="D239" t="str">
        <f>IFERROR(INDEX(T項目!$E:$E,MATCH(アイテムビューア!$C239,T項目!$D:$D,0)),"")</f>
        <v/>
      </c>
      <c r="E239" t="str">
        <f>アイテム項目!$A239</f>
        <v>T-0702</v>
      </c>
      <c r="F239" t="str">
        <f>IFERROR(INDEX(C項目!$E:$E,MATCH(アイテムビューア!$E239,C項目!$D:$D,0)),"")</f>
        <v/>
      </c>
      <c r="G239" t="str">
        <f>アイテム項目!$E239</f>
        <v>I-00233</v>
      </c>
      <c r="H239" t="str">
        <f>アイテム項目!$F239</f>
        <v>メインキーボード</v>
      </c>
      <c r="I239" t="str">
        <f>アイテム項目!$G239</f>
        <v>PC周辺機器</v>
      </c>
      <c r="J239" t="str">
        <f>アイテム項目!$H239</f>
        <v>B</v>
      </c>
      <c r="K239" t="str">
        <f>アイテム項目!$I239</f>
        <v>FILCO製</v>
      </c>
    </row>
    <row r="240" spans="1:11">
      <c r="A240" t="str">
        <f>IFERROR(INDEX(T項目!$A:$A,MATCH(アイテムビューア!$C240,T項目!$D:$D,0)),"")</f>
        <v/>
      </c>
      <c r="B240" t="str">
        <f>IFERROR(INDEX(S項目!$B:$B,MATCH(アイテムビューア!$A240,S項目!$A:$A,0)),"")</f>
        <v/>
      </c>
      <c r="C240" t="str">
        <f>IFERROR(INDEX(C項目!$A:$A,MATCH(アイテムビューア!$E240,C項目!$D:$D,0)),"")</f>
        <v/>
      </c>
      <c r="D240" t="str">
        <f>IFERROR(INDEX(T項目!$E:$E,MATCH(アイテムビューア!$C240,T項目!$D:$D,0)),"")</f>
        <v/>
      </c>
      <c r="E240" t="str">
        <f>アイテム項目!$A240</f>
        <v>T-0702</v>
      </c>
      <c r="F240" t="str">
        <f>IFERROR(INDEX(C項目!$E:$E,MATCH(アイテムビューア!$E240,C項目!$D:$D,0)),"")</f>
        <v/>
      </c>
      <c r="G240" t="str">
        <f>アイテム項目!$E240</f>
        <v>I-00234</v>
      </c>
      <c r="H240" t="str">
        <f>アイテム項目!$F240</f>
        <v>トラックボールマウス</v>
      </c>
      <c r="I240" t="str">
        <f>アイテム項目!$G240</f>
        <v>PC周辺機器</v>
      </c>
      <c r="J240" t="str">
        <f>アイテム項目!$H240</f>
        <v>B</v>
      </c>
      <c r="K240" t="str">
        <f>アイテム項目!$I240</f>
        <v>ロジクール製</v>
      </c>
    </row>
    <row r="241" spans="1:11">
      <c r="A241" t="str">
        <f>IFERROR(INDEX(T項目!$A:$A,MATCH(アイテムビューア!$C241,T項目!$D:$D,0)),"")</f>
        <v/>
      </c>
      <c r="B241" t="str">
        <f>IFERROR(INDEX(S項目!$B:$B,MATCH(アイテムビューア!$A241,S項目!$A:$A,0)),"")</f>
        <v/>
      </c>
      <c r="C241" t="str">
        <f>IFERROR(INDEX(C項目!$A:$A,MATCH(アイテムビューア!$E241,C項目!$D:$D,0)),"")</f>
        <v/>
      </c>
      <c r="D241" t="str">
        <f>IFERROR(INDEX(T項目!$E:$E,MATCH(アイテムビューア!$C241,T項目!$D:$D,0)),"")</f>
        <v/>
      </c>
      <c r="E241" t="str">
        <f>アイテム項目!$A241</f>
        <v>T-0702</v>
      </c>
      <c r="F241" t="str">
        <f>IFERROR(INDEX(C項目!$E:$E,MATCH(アイテムビューア!$E241,C項目!$D:$D,0)),"")</f>
        <v/>
      </c>
      <c r="G241" t="str">
        <f>アイテム項目!$E241</f>
        <v>I-00235</v>
      </c>
      <c r="H241" t="str">
        <f>アイテム項目!$F241</f>
        <v>サブマウス</v>
      </c>
      <c r="I241" t="str">
        <f>アイテム項目!$G241</f>
        <v>PC周辺機器</v>
      </c>
      <c r="J241" t="str">
        <f>アイテム項目!$H241</f>
        <v>B</v>
      </c>
      <c r="K241" t="str">
        <f>アイテム項目!$I241</f>
        <v>レッド×ブラック</v>
      </c>
    </row>
    <row r="242" spans="1:11">
      <c r="A242" t="str">
        <f>IFERROR(INDEX(T項目!$A:$A,MATCH(アイテムビューア!$C242,T項目!$D:$D,0)),"")</f>
        <v/>
      </c>
      <c r="B242" t="str">
        <f>IFERROR(INDEX(S項目!$B:$B,MATCH(アイテムビューア!$A242,S項目!$A:$A,0)),"")</f>
        <v/>
      </c>
      <c r="C242" t="str">
        <f>IFERROR(INDEX(C項目!$A:$A,MATCH(アイテムビューア!$E242,C項目!$D:$D,0)),"")</f>
        <v/>
      </c>
      <c r="D242" t="str">
        <f>IFERROR(INDEX(T項目!$E:$E,MATCH(アイテムビューア!$C242,T項目!$D:$D,0)),"")</f>
        <v/>
      </c>
      <c r="E242" t="str">
        <f>アイテム項目!$A242</f>
        <v>T-0702</v>
      </c>
      <c r="F242" t="str">
        <f>IFERROR(INDEX(C項目!$E:$E,MATCH(アイテムビューア!$E242,C項目!$D:$D,0)),"")</f>
        <v/>
      </c>
      <c r="G242" t="str">
        <f>アイテム項目!$E242</f>
        <v>I-00236</v>
      </c>
      <c r="H242" t="str">
        <f>アイテム項目!$F242</f>
        <v>モニター</v>
      </c>
      <c r="I242" t="str">
        <f>アイテム項目!$G242</f>
        <v>PC周辺機器</v>
      </c>
      <c r="J242" t="str">
        <f>アイテム項目!$H242</f>
        <v>B</v>
      </c>
      <c r="K242" t="str">
        <f>アイテム項目!$I242</f>
        <v>3台構成</v>
      </c>
    </row>
    <row r="243" spans="1:11">
      <c r="A243" t="str">
        <f>IFERROR(INDEX(T項目!$A:$A,MATCH(アイテムビューア!$C243,T項目!$D:$D,0)),"")</f>
        <v/>
      </c>
      <c r="B243" t="str">
        <f>IFERROR(INDEX(S項目!$B:$B,MATCH(アイテムビューア!$A243,S項目!$A:$A,0)),"")</f>
        <v/>
      </c>
      <c r="C243" t="str">
        <f>IFERROR(INDEX(C項目!$A:$A,MATCH(アイテムビューア!$E243,C項目!$D:$D,0)),"")</f>
        <v/>
      </c>
      <c r="D243" t="str">
        <f>IFERROR(INDEX(T項目!$E:$E,MATCH(アイテムビューア!$C243,T項目!$D:$D,0)),"")</f>
        <v/>
      </c>
      <c r="E243" t="str">
        <f>アイテム項目!$A243</f>
        <v>T-0702</v>
      </c>
      <c r="F243" t="str">
        <f>IFERROR(INDEX(C項目!$E:$E,MATCH(アイテムビューア!$E243,C項目!$D:$D,0)),"")</f>
        <v/>
      </c>
      <c r="G243" t="str">
        <f>アイテム項目!$E243</f>
        <v>I-00237</v>
      </c>
      <c r="H243" t="str">
        <f>アイテム項目!$F243</f>
        <v>USBハブ</v>
      </c>
      <c r="I243" t="str">
        <f>アイテム項目!$G243</f>
        <v>PC周辺機器</v>
      </c>
      <c r="J243" t="str">
        <f>アイテム項目!$H243</f>
        <v>B</v>
      </c>
      <c r="K243" t="str">
        <f>アイテム項目!$I243</f>
        <v>スイッチ付き</v>
      </c>
    </row>
    <row r="244" spans="1:11">
      <c r="A244" t="str">
        <f>IFERROR(INDEX(T項目!$A:$A,MATCH(アイテムビューア!$C244,T項目!$D:$D,0)),"")</f>
        <v/>
      </c>
      <c r="B244" t="str">
        <f>IFERROR(INDEX(S項目!$B:$B,MATCH(アイテムビューア!$A244,S項目!$A:$A,0)),"")</f>
        <v/>
      </c>
      <c r="C244" t="str">
        <f>IFERROR(INDEX(C項目!$A:$A,MATCH(アイテムビューア!$E244,C項目!$D:$D,0)),"")</f>
        <v/>
      </c>
      <c r="D244" t="str">
        <f>IFERROR(INDEX(T項目!$E:$E,MATCH(アイテムビューア!$C244,T項目!$D:$D,0)),"")</f>
        <v/>
      </c>
      <c r="E244" t="str">
        <f>アイテム項目!$A244</f>
        <v>T-0702</v>
      </c>
      <c r="F244" t="str">
        <f>IFERROR(INDEX(C項目!$E:$E,MATCH(アイテムビューア!$E244,C項目!$D:$D,0)),"")</f>
        <v/>
      </c>
      <c r="G244" t="str">
        <f>アイテム項目!$E244</f>
        <v>I-00238</v>
      </c>
      <c r="H244" t="str">
        <f>アイテム項目!$F244</f>
        <v>PCステッカー</v>
      </c>
      <c r="I244" t="str">
        <f>アイテム項目!$G244</f>
        <v>PC周辺機器</v>
      </c>
      <c r="J244" t="str">
        <f>アイテム項目!$H244</f>
        <v>B</v>
      </c>
      <c r="K244" t="str">
        <f>アイテム項目!$I244</f>
        <v>Diginnosロゴ</v>
      </c>
    </row>
    <row r="245" spans="1:11">
      <c r="A245" t="str">
        <f>IFERROR(INDEX(T項目!$A:$A,MATCH(アイテムビューア!$C245,T項目!$D:$D,0)),"")</f>
        <v/>
      </c>
      <c r="B245" t="str">
        <f>IFERROR(INDEX(S項目!$B:$B,MATCH(アイテムビューア!$A245,S項目!$A:$A,0)),"")</f>
        <v/>
      </c>
      <c r="C245" t="str">
        <f>IFERROR(INDEX(C項目!$A:$A,MATCH(アイテムビューア!$E245,C項目!$D:$D,0)),"")</f>
        <v/>
      </c>
      <c r="D245" t="str">
        <f>IFERROR(INDEX(T項目!$E:$E,MATCH(アイテムビューア!$C245,T項目!$D:$D,0)),"")</f>
        <v/>
      </c>
      <c r="E245" t="str">
        <f>アイテム項目!$A245</f>
        <v>T-0702</v>
      </c>
      <c r="F245" t="str">
        <f>IFERROR(INDEX(C項目!$E:$E,MATCH(アイテムビューア!$E245,C項目!$D:$D,0)),"")</f>
        <v/>
      </c>
      <c r="G245" t="str">
        <f>アイテム項目!$E245</f>
        <v>I-00239</v>
      </c>
      <c r="H245" t="str">
        <f>アイテム項目!$F245</f>
        <v>カッターマット</v>
      </c>
      <c r="I245" t="str">
        <f>アイテム項目!$G245</f>
        <v>事務用品</v>
      </c>
      <c r="J245" t="str">
        <f>アイテム項目!$H245</f>
        <v>B</v>
      </c>
      <c r="K245" t="str">
        <f>アイテム項目!$I245</f>
        <v>緑色</v>
      </c>
    </row>
    <row r="246" spans="1:11">
      <c r="A246" t="str">
        <f>IFERROR(INDEX(T項目!$A:$A,MATCH(アイテムビューア!$C246,T項目!$D:$D,0)),"")</f>
        <v/>
      </c>
      <c r="B246" t="str">
        <f>IFERROR(INDEX(S項目!$B:$B,MATCH(アイテムビューア!$A246,S項目!$A:$A,0)),"")</f>
        <v/>
      </c>
      <c r="C246" t="str">
        <f>IFERROR(INDEX(C項目!$A:$A,MATCH(アイテムビューア!$E246,C項目!$D:$D,0)),"")</f>
        <v/>
      </c>
      <c r="D246" t="str">
        <f>IFERROR(INDEX(T項目!$E:$E,MATCH(アイテムビューア!$C246,T項目!$D:$D,0)),"")</f>
        <v/>
      </c>
      <c r="E246" t="str">
        <f>アイテム項目!$A246</f>
        <v>T-0702</v>
      </c>
      <c r="F246" t="str">
        <f>IFERROR(INDEX(C項目!$E:$E,MATCH(アイテムビューア!$E246,C項目!$D:$D,0)),"")</f>
        <v/>
      </c>
      <c r="G246" t="str">
        <f>アイテム項目!$E246</f>
        <v>I-00240</v>
      </c>
      <c r="H246" t="str">
        <f>アイテム項目!$F246</f>
        <v>ペン立て</v>
      </c>
      <c r="I246" t="str">
        <f>アイテム項目!$G246</f>
        <v>事務用品</v>
      </c>
      <c r="J246" t="str">
        <f>アイテム項目!$H246</f>
        <v>B</v>
      </c>
      <c r="K246" t="str">
        <f>アイテム項目!$I246</f>
        <v>2箇所</v>
      </c>
    </row>
    <row r="247" spans="1:11">
      <c r="A247" t="str">
        <f>IFERROR(INDEX(T項目!$A:$A,MATCH(アイテムビューア!$C247,T項目!$D:$D,0)),"")</f>
        <v/>
      </c>
      <c r="B247" t="str">
        <f>IFERROR(INDEX(S項目!$B:$B,MATCH(アイテムビューア!$A247,S項目!$A:$A,0)),"")</f>
        <v/>
      </c>
      <c r="C247" t="str">
        <f>IFERROR(INDEX(C項目!$A:$A,MATCH(アイテムビューア!$E247,C項目!$D:$D,0)),"")</f>
        <v/>
      </c>
      <c r="D247" t="str">
        <f>IFERROR(INDEX(T項目!$E:$E,MATCH(アイテムビューア!$C247,T項目!$D:$D,0)),"")</f>
        <v/>
      </c>
      <c r="E247" t="str">
        <f>アイテム項目!$A247</f>
        <v>T-0702</v>
      </c>
      <c r="F247" t="str">
        <f>IFERROR(INDEX(C項目!$E:$E,MATCH(アイテムビューア!$E247,C項目!$D:$D,0)),"")</f>
        <v/>
      </c>
      <c r="G247" t="str">
        <f>アイテム項目!$E247</f>
        <v>I-00241</v>
      </c>
      <c r="H247" t="str">
        <f>アイテム項目!$F247</f>
        <v>筆記具・工具</v>
      </c>
      <c r="I247" t="str">
        <f>アイテム項目!$G247</f>
        <v>事務用品</v>
      </c>
      <c r="J247" t="str">
        <f>アイテム項目!$H247</f>
        <v>B</v>
      </c>
      <c r="K247" t="str">
        <f>アイテム項目!$I247</f>
        <v>マイネーム等</v>
      </c>
    </row>
    <row r="248" spans="1:11">
      <c r="A248" t="str">
        <f>IFERROR(INDEX(T項目!$A:$A,MATCH(アイテムビューア!$C248,T項目!$D:$D,0)),"")</f>
        <v/>
      </c>
      <c r="B248" t="str">
        <f>IFERROR(INDEX(S項目!$B:$B,MATCH(アイテムビューア!$A248,S項目!$A:$A,0)),"")</f>
        <v/>
      </c>
      <c r="C248" t="str">
        <f>IFERROR(INDEX(C項目!$A:$A,MATCH(アイテムビューア!$E248,C項目!$D:$D,0)),"")</f>
        <v/>
      </c>
      <c r="D248" t="str">
        <f>IFERROR(INDEX(T項目!$E:$E,MATCH(アイテムビューア!$C248,T項目!$D:$D,0)),"")</f>
        <v/>
      </c>
      <c r="E248" t="str">
        <f>アイテム項目!$A248</f>
        <v>T-0702</v>
      </c>
      <c r="F248" t="str">
        <f>IFERROR(INDEX(C項目!$E:$E,MATCH(アイテムビューア!$E248,C項目!$D:$D,0)),"")</f>
        <v/>
      </c>
      <c r="G248" t="str">
        <f>アイテム項目!$E248</f>
        <v>I-00242</v>
      </c>
      <c r="H248" t="str">
        <f>アイテム項目!$F248</f>
        <v>接着剤</v>
      </c>
      <c r="I248" t="str">
        <f>アイテム項目!$G248</f>
        <v>事務用品</v>
      </c>
      <c r="J248" t="str">
        <f>アイテム項目!$H248</f>
        <v>B</v>
      </c>
      <c r="K248" t="str">
        <f>アイテム項目!$I248</f>
        <v>アラビックのり等</v>
      </c>
    </row>
    <row r="249" spans="1:11">
      <c r="A249" t="str">
        <f>IFERROR(INDEX(T項目!$A:$A,MATCH(アイテムビューア!$C249,T項目!$D:$D,0)),"")</f>
        <v/>
      </c>
      <c r="B249" t="str">
        <f>IFERROR(INDEX(S項目!$B:$B,MATCH(アイテムビューア!$A249,S項目!$A:$A,0)),"")</f>
        <v/>
      </c>
      <c r="C249" t="str">
        <f>IFERROR(INDEX(C項目!$A:$A,MATCH(アイテムビューア!$E249,C項目!$D:$D,0)),"")</f>
        <v/>
      </c>
      <c r="D249" t="str">
        <f>IFERROR(INDEX(T項目!$E:$E,MATCH(アイテムビューア!$C249,T項目!$D:$D,0)),"")</f>
        <v/>
      </c>
      <c r="E249" t="str">
        <f>アイテム項目!$A249</f>
        <v>T-0702</v>
      </c>
      <c r="F249" t="str">
        <f>IFERROR(INDEX(C項目!$E:$E,MATCH(アイテムビューア!$E249,C項目!$D:$D,0)),"")</f>
        <v/>
      </c>
      <c r="G249" t="str">
        <f>アイテム項目!$E249</f>
        <v>I-00243</v>
      </c>
      <c r="H249" t="str">
        <f>アイテム項目!$F249</f>
        <v>メモ・ノート類</v>
      </c>
      <c r="I249" t="str">
        <f>アイテム項目!$G249</f>
        <v>事務用品</v>
      </c>
      <c r="J249" t="str">
        <f>アイテム項目!$H249</f>
        <v>B</v>
      </c>
      <c r="K249" t="str">
        <f>アイテム項目!$I249</f>
        <v>リングノート</v>
      </c>
    </row>
    <row r="250" spans="1:11">
      <c r="A250" t="str">
        <f>IFERROR(INDEX(T項目!$A:$A,MATCH(アイテムビューア!$C250,T項目!$D:$D,0)),"")</f>
        <v/>
      </c>
      <c r="B250" t="str">
        <f>IFERROR(INDEX(S項目!$B:$B,MATCH(アイテムビューア!$A250,S項目!$A:$A,0)),"")</f>
        <v/>
      </c>
      <c r="C250" t="str">
        <f>IFERROR(INDEX(C項目!$A:$A,MATCH(アイテムビューア!$E250,C項目!$D:$D,0)),"")</f>
        <v/>
      </c>
      <c r="D250" t="str">
        <f>IFERROR(INDEX(T項目!$E:$E,MATCH(アイテムビューア!$C250,T項目!$D:$D,0)),"")</f>
        <v/>
      </c>
      <c r="E250" t="str">
        <f>アイテム項目!$A250</f>
        <v>T-0702</v>
      </c>
      <c r="F250" t="str">
        <f>IFERROR(INDEX(C項目!$E:$E,MATCH(アイテムビューア!$E250,C項目!$D:$D,0)),"")</f>
        <v/>
      </c>
      <c r="G250" t="str">
        <f>アイテム項目!$E250</f>
        <v>I-00244</v>
      </c>
      <c r="H250" t="str">
        <f>アイテム項目!$F250</f>
        <v>付箋</v>
      </c>
      <c r="I250" t="str">
        <f>アイテム項目!$G250</f>
        <v>事務用品</v>
      </c>
      <c r="J250" t="str">
        <f>アイテム項目!$H250</f>
        <v>B</v>
      </c>
      <c r="K250" t="str">
        <f>アイテム項目!$I250</f>
        <v>黄緑色</v>
      </c>
    </row>
    <row r="251" spans="1:11">
      <c r="A251" t="str">
        <f>IFERROR(INDEX(T項目!$A:$A,MATCH(アイテムビューア!$C251,T項目!$D:$D,0)),"")</f>
        <v/>
      </c>
      <c r="B251" t="str">
        <f>IFERROR(INDEX(S項目!$B:$B,MATCH(アイテムビューア!$A251,S項目!$A:$A,0)),"")</f>
        <v/>
      </c>
      <c r="C251" t="str">
        <f>IFERROR(INDEX(C項目!$A:$A,MATCH(アイテムビューア!$E251,C項目!$D:$D,0)),"")</f>
        <v/>
      </c>
      <c r="D251" t="str">
        <f>IFERROR(INDEX(T項目!$E:$E,MATCH(アイテムビューア!$C251,T項目!$D:$D,0)),"")</f>
        <v/>
      </c>
      <c r="E251" t="str">
        <f>アイテム項目!$A251</f>
        <v>T-0702</v>
      </c>
      <c r="F251" t="str">
        <f>IFERROR(INDEX(C項目!$E:$E,MATCH(アイテムビューア!$E251,C項目!$D:$D,0)),"")</f>
        <v/>
      </c>
      <c r="G251" t="str">
        <f>アイテム項目!$E251</f>
        <v>I-00245</v>
      </c>
      <c r="H251" t="str">
        <f>アイテム項目!$F251</f>
        <v>テープカッター</v>
      </c>
      <c r="I251" t="str">
        <f>アイテム項目!$G251</f>
        <v>事務用品</v>
      </c>
      <c r="J251" t="str">
        <f>アイテム項目!$H251</f>
        <v>B</v>
      </c>
      <c r="K251" t="str">
        <f>アイテム項目!$I251</f>
        <v>ピンク</v>
      </c>
    </row>
    <row r="252" spans="1:11">
      <c r="A252" t="str">
        <f>IFERROR(INDEX(T項目!$A:$A,MATCH(アイテムビューア!$C252,T項目!$D:$D,0)),"")</f>
        <v/>
      </c>
      <c r="B252" t="str">
        <f>IFERROR(INDEX(S項目!$B:$B,MATCH(アイテムビューア!$A252,S項目!$A:$A,0)),"")</f>
        <v/>
      </c>
      <c r="C252" t="str">
        <f>IFERROR(INDEX(C項目!$A:$A,MATCH(アイテムビューア!$E252,C項目!$D:$D,0)),"")</f>
        <v/>
      </c>
      <c r="D252" t="str">
        <f>IFERROR(INDEX(T項目!$E:$E,MATCH(アイテムビューア!$C252,T項目!$D:$D,0)),"")</f>
        <v/>
      </c>
      <c r="E252" t="str">
        <f>アイテム項目!$A252</f>
        <v>T-0702</v>
      </c>
      <c r="F252" t="str">
        <f>IFERROR(INDEX(C項目!$E:$E,MATCH(アイテムビューア!$E252,C項目!$D:$D,0)),"")</f>
        <v/>
      </c>
      <c r="G252" t="str">
        <f>アイテム項目!$E252</f>
        <v>I-00246</v>
      </c>
      <c r="H252" t="str">
        <f>アイテム項目!$F252</f>
        <v>パンチ</v>
      </c>
      <c r="I252" t="str">
        <f>アイテム項目!$G252</f>
        <v>事務用品</v>
      </c>
      <c r="J252" t="str">
        <f>アイテム項目!$H252</f>
        <v>B</v>
      </c>
      <c r="K252" t="str">
        <f>アイテム項目!$I252</f>
        <v>2穴パンチ</v>
      </c>
    </row>
    <row r="253" spans="1:11">
      <c r="A253" t="str">
        <f>IFERROR(INDEX(T項目!$A:$A,MATCH(アイテムビューア!$C253,T項目!$D:$D,0)),"")</f>
        <v/>
      </c>
      <c r="B253" t="str">
        <f>IFERROR(INDEX(S項目!$B:$B,MATCH(アイテムビューア!$A253,S項目!$A:$A,0)),"")</f>
        <v/>
      </c>
      <c r="C253" t="str">
        <f>IFERROR(INDEX(C項目!$A:$A,MATCH(アイテムビューア!$E253,C項目!$D:$D,0)),"")</f>
        <v/>
      </c>
      <c r="D253" t="str">
        <f>IFERROR(INDEX(T項目!$E:$E,MATCH(アイテムビューア!$C253,T項目!$D:$D,0)),"")</f>
        <v/>
      </c>
      <c r="E253" t="str">
        <f>アイテム項目!$A253</f>
        <v>T-0702</v>
      </c>
      <c r="F253" t="str">
        <f>IFERROR(INDEX(C項目!$E:$E,MATCH(アイテムビューア!$E253,C項目!$D:$D,0)),"")</f>
        <v/>
      </c>
      <c r="G253" t="str">
        <f>アイテム項目!$E253</f>
        <v>I-00247</v>
      </c>
      <c r="H253" t="str">
        <f>アイテム項目!$F253</f>
        <v>マグネットトレイ</v>
      </c>
      <c r="I253" t="str">
        <f>アイテム項目!$G253</f>
        <v>事務用品</v>
      </c>
      <c r="J253" t="str">
        <f>アイテム項目!$H253</f>
        <v>B</v>
      </c>
      <c r="K253" t="str">
        <f>アイテム項目!$I253</f>
        <v>丸型</v>
      </c>
    </row>
    <row r="254" spans="1:11">
      <c r="A254" t="str">
        <f>IFERROR(INDEX(T項目!$A:$A,MATCH(アイテムビューア!$C254,T項目!$D:$D,0)),"")</f>
        <v/>
      </c>
      <c r="B254" t="str">
        <f>IFERROR(INDEX(S項目!$B:$B,MATCH(アイテムビューア!$A254,S項目!$A:$A,0)),"")</f>
        <v/>
      </c>
      <c r="C254" t="str">
        <f>IFERROR(INDEX(C項目!$A:$A,MATCH(アイテムビューア!$E254,C項目!$D:$D,0)),"")</f>
        <v/>
      </c>
      <c r="D254" t="str">
        <f>IFERROR(INDEX(T項目!$E:$E,MATCH(アイテムビューア!$C254,T項目!$D:$D,0)),"")</f>
        <v/>
      </c>
      <c r="E254" t="str">
        <f>アイテム項目!$A254</f>
        <v>T-0702</v>
      </c>
      <c r="F254" t="str">
        <f>IFERROR(INDEX(C項目!$E:$E,MATCH(アイテムビューア!$E254,C項目!$D:$D,0)),"")</f>
        <v/>
      </c>
      <c r="G254" t="str">
        <f>アイテム項目!$E254</f>
        <v>I-00248</v>
      </c>
      <c r="H254" t="str">
        <f>アイテム項目!$F254</f>
        <v>プラスチックカゴ</v>
      </c>
      <c r="I254" t="str">
        <f>アイテム項目!$G254</f>
        <v>卓上小物</v>
      </c>
      <c r="J254" t="str">
        <f>アイテム項目!$H254</f>
        <v>B</v>
      </c>
      <c r="K254" t="str">
        <f>アイテム項目!$I254</f>
        <v>ピンク2個</v>
      </c>
    </row>
    <row r="255" spans="1:11">
      <c r="A255" t="str">
        <f>IFERROR(INDEX(T項目!$A:$A,MATCH(アイテムビューア!$C255,T項目!$D:$D,0)),"")</f>
        <v/>
      </c>
      <c r="B255" t="str">
        <f>IFERROR(INDEX(S項目!$B:$B,MATCH(アイテムビューア!$A255,S項目!$A:$A,0)),"")</f>
        <v/>
      </c>
      <c r="C255" t="str">
        <f>IFERROR(INDEX(C項目!$A:$A,MATCH(アイテムビューア!$E255,C項目!$D:$D,0)),"")</f>
        <v/>
      </c>
      <c r="D255" t="str">
        <f>IFERROR(INDEX(T項目!$E:$E,MATCH(アイテムビューア!$C255,T項目!$D:$D,0)),"")</f>
        <v/>
      </c>
      <c r="E255" t="str">
        <f>アイテム項目!$A255</f>
        <v>T-0702</v>
      </c>
      <c r="F255" t="str">
        <f>IFERROR(INDEX(C項目!$E:$E,MATCH(アイテムビューア!$E255,C項目!$D:$D,0)),"")</f>
        <v/>
      </c>
      <c r="G255" t="str">
        <f>アイテム項目!$E255</f>
        <v>I-00249</v>
      </c>
      <c r="H255" t="str">
        <f>アイテム項目!$F255</f>
        <v>スプレー缶</v>
      </c>
      <c r="I255" t="str">
        <f>アイテム項目!$G255</f>
        <v>卓上小物</v>
      </c>
      <c r="J255" t="str">
        <f>アイテム項目!$H255</f>
        <v>B</v>
      </c>
      <c r="K255" t="str">
        <f>アイテム項目!$I255</f>
        <v>フマキラー</v>
      </c>
    </row>
    <row r="256" spans="1:11">
      <c r="A256" t="str">
        <f>IFERROR(INDEX(T項目!$A:$A,MATCH(アイテムビューア!$C256,T項目!$D:$D,0)),"")</f>
        <v/>
      </c>
      <c r="B256" t="str">
        <f>IFERROR(INDEX(S項目!$B:$B,MATCH(アイテムビューア!$A256,S項目!$A:$A,0)),"")</f>
        <v/>
      </c>
      <c r="C256" t="str">
        <f>IFERROR(INDEX(C項目!$A:$A,MATCH(アイテムビューア!$E256,C項目!$D:$D,0)),"")</f>
        <v/>
      </c>
      <c r="D256" t="str">
        <f>IFERROR(INDEX(T項目!$E:$E,MATCH(アイテムビューア!$C256,T項目!$D:$D,0)),"")</f>
        <v/>
      </c>
      <c r="E256" t="str">
        <f>アイテム項目!$A256</f>
        <v>T-0702</v>
      </c>
      <c r="F256" t="str">
        <f>IFERROR(INDEX(C項目!$E:$E,MATCH(アイテムビューア!$E256,C項目!$D:$D,0)),"")</f>
        <v/>
      </c>
      <c r="G256" t="str">
        <f>アイテム項目!$E256</f>
        <v>I-00250</v>
      </c>
      <c r="H256" t="str">
        <f>アイテム項目!$F256</f>
        <v>木製ケース</v>
      </c>
      <c r="I256" t="str">
        <f>アイテム項目!$G256</f>
        <v>卓上小物</v>
      </c>
      <c r="J256" t="str">
        <f>アイテム項目!$H256</f>
        <v>B</v>
      </c>
      <c r="K256" t="str">
        <f>アイテム項目!$I256</f>
        <v>丸型</v>
      </c>
    </row>
    <row r="257" spans="1:11">
      <c r="A257" t="str">
        <f>IFERROR(INDEX(T項目!$A:$A,MATCH(アイテムビューア!$C257,T項目!$D:$D,0)),"")</f>
        <v/>
      </c>
      <c r="B257" t="str">
        <f>IFERROR(INDEX(S項目!$B:$B,MATCH(アイテムビューア!$A257,S項目!$A:$A,0)),"")</f>
        <v/>
      </c>
      <c r="C257" t="str">
        <f>IFERROR(INDEX(C項目!$A:$A,MATCH(アイテムビューア!$E257,C項目!$D:$D,0)),"")</f>
        <v/>
      </c>
      <c r="D257" t="str">
        <f>IFERROR(INDEX(T項目!$E:$E,MATCH(アイテムビューア!$C257,T項目!$D:$D,0)),"")</f>
        <v/>
      </c>
      <c r="E257" t="str">
        <f>アイテム項目!$A257</f>
        <v>T-0702</v>
      </c>
      <c r="F257" t="str">
        <f>IFERROR(INDEX(C項目!$E:$E,MATCH(アイテムビューア!$E257,C項目!$D:$D,0)),"")</f>
        <v/>
      </c>
      <c r="G257" t="str">
        <f>アイテム項目!$E257</f>
        <v>I-00251</v>
      </c>
      <c r="H257" t="str">
        <f>アイテム項目!$F257</f>
        <v>衛生・日用品</v>
      </c>
      <c r="I257" t="str">
        <f>アイテム項目!$G257</f>
        <v>卓上小物</v>
      </c>
      <c r="J257" t="str">
        <f>アイテム項目!$H257</f>
        <v>B</v>
      </c>
      <c r="K257" t="str">
        <f>アイテム項目!$I257</f>
        <v>爪楊枝等</v>
      </c>
    </row>
    <row r="258" spans="1:11">
      <c r="A258" t="str">
        <f>IFERROR(INDEX(T項目!$A:$A,MATCH(アイテムビューア!$C258,T項目!$D:$D,0)),"")</f>
        <v/>
      </c>
      <c r="B258" t="str">
        <f>IFERROR(INDEX(S項目!$B:$B,MATCH(アイテムビューア!$A258,S項目!$A:$A,0)),"")</f>
        <v/>
      </c>
      <c r="C258" t="str">
        <f>IFERROR(INDEX(C項目!$A:$A,MATCH(アイテムビューア!$E258,C項目!$D:$D,0)),"")</f>
        <v/>
      </c>
      <c r="D258" t="str">
        <f>IFERROR(INDEX(T項目!$E:$E,MATCH(アイテムビューア!$C258,T項目!$D:$D,0)),"")</f>
        <v/>
      </c>
      <c r="E258" t="str">
        <f>アイテム項目!$A258</f>
        <v>T-0702</v>
      </c>
      <c r="F258" t="str">
        <f>IFERROR(INDEX(C項目!$E:$E,MATCH(アイテムビューア!$E258,C項目!$D:$D,0)),"")</f>
        <v/>
      </c>
      <c r="G258" t="str">
        <f>アイテム項目!$E258</f>
        <v>I-00252</v>
      </c>
      <c r="H258" t="str">
        <f>アイテム項目!$F258</f>
        <v>ワイヤーラック</v>
      </c>
      <c r="I258" t="str">
        <f>アイテム項目!$G258</f>
        <v>卓上小物</v>
      </c>
      <c r="J258" t="str">
        <f>アイテム項目!$H258</f>
        <v>B</v>
      </c>
      <c r="K258" t="str">
        <f>アイテム項目!$I258</f>
        <v>メッシュ状</v>
      </c>
    </row>
    <row r="259" spans="1:11">
      <c r="A259" t="str">
        <f>IFERROR(INDEX(T項目!$A:$A,MATCH(アイテムビューア!$C259,T項目!$D:$D,0)),"")</f>
        <v/>
      </c>
      <c r="B259" t="str">
        <f>IFERROR(INDEX(S項目!$B:$B,MATCH(アイテムビューア!$A259,S項目!$A:$A,0)),"")</f>
        <v/>
      </c>
      <c r="C259" t="str">
        <f>IFERROR(INDEX(C項目!$A:$A,MATCH(アイテムビューア!$E259,C項目!$D:$D,0)),"")</f>
        <v/>
      </c>
      <c r="D259" t="str">
        <f>IFERROR(INDEX(T項目!$E:$E,MATCH(アイテムビューア!$C259,T項目!$D:$D,0)),"")</f>
        <v/>
      </c>
      <c r="E259" t="str">
        <f>アイテム項目!$A259</f>
        <v>T-0702</v>
      </c>
      <c r="F259" t="str">
        <f>IFERROR(INDEX(C項目!$E:$E,MATCH(アイテムビューア!$E259,C項目!$D:$D,0)),"")</f>
        <v/>
      </c>
      <c r="G259" t="str">
        <f>アイテム項目!$E259</f>
        <v>I-00253</v>
      </c>
      <c r="H259" t="str">
        <f>アイテム項目!$F259</f>
        <v>ケーブル類</v>
      </c>
      <c r="I259" t="str">
        <f>アイテム項目!$G259</f>
        <v>卓上小物</v>
      </c>
      <c r="J259" t="str">
        <f>アイテム項目!$H259</f>
        <v>B</v>
      </c>
      <c r="K259" t="str">
        <f>アイテム項目!$I259</f>
        <v>USB等</v>
      </c>
    </row>
    <row r="260" spans="1:11">
      <c r="A260" t="str">
        <f>IFERROR(INDEX(T項目!$A:$A,MATCH(アイテムビューア!$C260,T項目!$D:$D,0)),"")</f>
        <v/>
      </c>
      <c r="B260" t="str">
        <f>IFERROR(INDEX(S項目!$B:$B,MATCH(アイテムビューア!$A260,S項目!$A:$A,0)),"")</f>
        <v/>
      </c>
      <c r="C260" t="str">
        <f>IFERROR(INDEX(C項目!$A:$A,MATCH(アイテムビューア!$E260,C項目!$D:$D,0)),"")</f>
        <v/>
      </c>
      <c r="D260" t="str">
        <f>IFERROR(INDEX(T項目!$E:$E,MATCH(アイテムビューア!$C260,T項目!$D:$D,0)),"")</f>
        <v/>
      </c>
      <c r="E260" t="str">
        <f>アイテム項目!$A260</f>
        <v>T-0702</v>
      </c>
      <c r="F260" t="str">
        <f>IFERROR(INDEX(C項目!$E:$E,MATCH(アイテムビューア!$E260,C項目!$D:$D,0)),"")</f>
        <v/>
      </c>
      <c r="G260" t="str">
        <f>アイテム項目!$E260</f>
        <v>I-00254</v>
      </c>
      <c r="H260" t="str">
        <f>アイテム項目!$F260</f>
        <v>小さいアンビル</v>
      </c>
      <c r="I260" t="str">
        <f>アイテム項目!$G260</f>
        <v>工具</v>
      </c>
      <c r="J260" t="str">
        <f>アイテム項目!$H260</f>
        <v>B</v>
      </c>
      <c r="K260" t="str">
        <f>アイテム項目!$I260</f>
        <v>赤</v>
      </c>
    </row>
    <row r="261" spans="1:11">
      <c r="A261" t="str">
        <f>IFERROR(INDEX(T項目!$A:$A,MATCH(アイテムビューア!$C261,T項目!$D:$D,0)),"")</f>
        <v/>
      </c>
      <c r="B261" t="str">
        <f>IFERROR(INDEX(S項目!$B:$B,MATCH(アイテムビューア!$A261,S項目!$A:$A,0)),"")</f>
        <v/>
      </c>
      <c r="C261" t="str">
        <f>IFERROR(INDEX(C項目!$A:$A,MATCH(アイテムビューア!$E261,C項目!$D:$D,0)),"")</f>
        <v/>
      </c>
      <c r="D261" t="str">
        <f>IFERROR(INDEX(T項目!$E:$E,MATCH(アイテムビューア!$C261,T項目!$D:$D,0)),"")</f>
        <v/>
      </c>
      <c r="E261" t="str">
        <f>アイテム項目!$A261</f>
        <v>T-0702</v>
      </c>
      <c r="F261" t="str">
        <f>IFERROR(INDEX(C項目!$E:$E,MATCH(アイテムビューア!$E261,C項目!$D:$D,0)),"")</f>
        <v/>
      </c>
      <c r="G261" t="str">
        <f>アイテム項目!$E261</f>
        <v>I-00255</v>
      </c>
      <c r="H261" t="str">
        <f>アイテム項目!$F261</f>
        <v>耳かき</v>
      </c>
      <c r="I261" t="str">
        <f>アイテム項目!$G261</f>
        <v>衛生用品</v>
      </c>
      <c r="J261" t="str">
        <f>アイテム項目!$H261</f>
        <v>B</v>
      </c>
      <c r="K261">
        <f>アイテム項目!$I261</f>
        <v>0</v>
      </c>
    </row>
    <row r="262" spans="1:11">
      <c r="A262" t="str">
        <f>IFERROR(INDEX(T項目!$A:$A,MATCH(アイテムビューア!$C262,T項目!$D:$D,0)),"")</f>
        <v/>
      </c>
      <c r="B262" t="str">
        <f>IFERROR(INDEX(S項目!$B:$B,MATCH(アイテムビューア!$A262,S項目!$A:$A,0)),"")</f>
        <v/>
      </c>
      <c r="C262" t="str">
        <f>IFERROR(INDEX(C項目!$A:$A,MATCH(アイテムビューア!$E262,C項目!$D:$D,0)),"")</f>
        <v/>
      </c>
      <c r="D262" t="str">
        <f>IFERROR(INDEX(T項目!$E:$E,MATCH(アイテムビューア!$C262,T項目!$D:$D,0)),"")</f>
        <v/>
      </c>
      <c r="E262">
        <f>アイテム項目!$A262</f>
        <v>0</v>
      </c>
      <c r="F262" t="str">
        <f>IFERROR(INDEX(C項目!$E:$E,MATCH(アイテムビューア!$E262,C項目!$D:$D,0)),"")</f>
        <v/>
      </c>
      <c r="G262">
        <f>アイテム項目!$E262</f>
        <v>0</v>
      </c>
      <c r="H262">
        <f>アイテム項目!$F262</f>
        <v>0</v>
      </c>
      <c r="I262">
        <f>アイテム項目!$G262</f>
        <v>0</v>
      </c>
      <c r="J262">
        <f>アイテム項目!$H262</f>
        <v>0</v>
      </c>
      <c r="K262">
        <f>アイテム項目!$I262</f>
        <v>0</v>
      </c>
    </row>
    <row r="263" spans="1:11">
      <c r="A263" t="str">
        <f>IFERROR(INDEX(T項目!$A:$A,MATCH(アイテムビューア!$C263,T項目!$D:$D,0)),"")</f>
        <v/>
      </c>
      <c r="B263" t="str">
        <f>IFERROR(INDEX(S項目!$B:$B,MATCH(アイテムビューア!$A263,S項目!$A:$A,0)),"")</f>
        <v/>
      </c>
      <c r="C263" t="str">
        <f>IFERROR(INDEX(C項目!$A:$A,MATCH(アイテムビューア!$E263,C項目!$D:$D,0)),"")</f>
        <v/>
      </c>
      <c r="D263" t="str">
        <f>IFERROR(INDEX(T項目!$E:$E,MATCH(アイテムビューア!$C263,T項目!$D:$D,0)),"")</f>
        <v/>
      </c>
      <c r="E263" t="str">
        <f>アイテム項目!$A263</f>
        <v>T-0201</v>
      </c>
      <c r="F263" t="str">
        <f>IFERROR(INDEX(C項目!$E:$E,MATCH(アイテムビューア!$E263,C項目!$D:$D,0)),"")</f>
        <v/>
      </c>
      <c r="G263" t="str">
        <f>アイテム項目!$E263</f>
        <v>I-00256</v>
      </c>
      <c r="H263" t="str">
        <f>アイテム項目!$F263</f>
        <v>ハンダゴテステーション</v>
      </c>
      <c r="I263">
        <f>アイテム項目!$G263</f>
        <v>0</v>
      </c>
      <c r="J263">
        <f>アイテム項目!$H263</f>
        <v>0</v>
      </c>
      <c r="K263">
        <f>アイテム項目!$I263</f>
        <v>0</v>
      </c>
    </row>
    <row r="264" spans="1:11">
      <c r="A264" t="str">
        <f>IFERROR(INDEX(T項目!$A:$A,MATCH(アイテムビューア!$C264,T項目!$D:$D,0)),"")</f>
        <v/>
      </c>
      <c r="B264" t="str">
        <f>IFERROR(INDEX(S項目!$B:$B,MATCH(アイテムビューア!$A264,S項目!$A:$A,0)),"")</f>
        <v/>
      </c>
      <c r="C264" t="str">
        <f>IFERROR(INDEX(C項目!$A:$A,MATCH(アイテムビューア!$E264,C項目!$D:$D,0)),"")</f>
        <v/>
      </c>
      <c r="D264" t="str">
        <f>IFERROR(INDEX(T項目!$E:$E,MATCH(アイテムビューア!$C264,T項目!$D:$D,0)),"")</f>
        <v/>
      </c>
      <c r="E264" t="str">
        <f>アイテム項目!$A264</f>
        <v>T-0201</v>
      </c>
      <c r="F264" t="str">
        <f>IFERROR(INDEX(C項目!$E:$E,MATCH(アイテムビューア!$E264,C項目!$D:$D,0)),"")</f>
        <v/>
      </c>
      <c r="G264" t="str">
        <f>アイテム項目!$E264</f>
        <v>I-00257</v>
      </c>
      <c r="H264" t="str">
        <f>アイテム項目!$F264</f>
        <v>糸ハンダ</v>
      </c>
      <c r="I264">
        <f>アイテム項目!$G264</f>
        <v>0</v>
      </c>
      <c r="J264">
        <f>アイテム項目!$H264</f>
        <v>0</v>
      </c>
      <c r="K264">
        <f>アイテム項目!$I264</f>
        <v>0</v>
      </c>
    </row>
    <row r="265" spans="1:11">
      <c r="A265" t="str">
        <f>IFERROR(INDEX(T項目!$A:$A,MATCH(アイテムビューア!$C265,T項目!$D:$D,0)),"")</f>
        <v/>
      </c>
      <c r="B265" t="str">
        <f>IFERROR(INDEX(S項目!$B:$B,MATCH(アイテムビューア!$A265,S項目!$A:$A,0)),"")</f>
        <v/>
      </c>
      <c r="C265" t="str">
        <f>IFERROR(INDEX(C項目!$A:$A,MATCH(アイテムビューア!$E265,C項目!$D:$D,0)),"")</f>
        <v/>
      </c>
      <c r="D265" t="str">
        <f>IFERROR(INDEX(T項目!$E:$E,MATCH(アイテムビューア!$C265,T項目!$D:$D,0)),"")</f>
        <v/>
      </c>
      <c r="E265" t="str">
        <f>アイテム項目!$A265</f>
        <v>T-0201</v>
      </c>
      <c r="F265" t="str">
        <f>IFERROR(INDEX(C項目!$E:$E,MATCH(アイテムビューア!$E265,C項目!$D:$D,0)),"")</f>
        <v/>
      </c>
      <c r="G265" t="str">
        <f>アイテム項目!$E265</f>
        <v>I-00258</v>
      </c>
      <c r="H265" t="str">
        <f>アイテム項目!$F265</f>
        <v>耐熱シリコン作業マット</v>
      </c>
      <c r="I265">
        <f>アイテム項目!$G265</f>
        <v>0</v>
      </c>
      <c r="J265">
        <f>アイテム項目!$H265</f>
        <v>0</v>
      </c>
      <c r="K265">
        <f>アイテム項目!$I265</f>
        <v>0</v>
      </c>
    </row>
    <row r="266" spans="1:11">
      <c r="A266" t="str">
        <f>IFERROR(INDEX(T項目!$A:$A,MATCH(アイテムビューア!$C266,T項目!$D:$D,0)),"")</f>
        <v/>
      </c>
      <c r="B266" t="str">
        <f>IFERROR(INDEX(S項目!$B:$B,MATCH(アイテムビューア!$A266,S項目!$A:$A,0)),"")</f>
        <v/>
      </c>
      <c r="C266" t="str">
        <f>IFERROR(INDEX(C項目!$A:$A,MATCH(アイテムビューア!$E266,C項目!$D:$D,0)),"")</f>
        <v/>
      </c>
      <c r="D266" t="str">
        <f>IFERROR(INDEX(T項目!$E:$E,MATCH(アイテムビューア!$C266,T項目!$D:$D,0)),"")</f>
        <v/>
      </c>
      <c r="E266" t="str">
        <f>アイテム項目!$A266</f>
        <v>T-0201</v>
      </c>
      <c r="F266" t="str">
        <f>IFERROR(INDEX(C項目!$E:$E,MATCH(アイテムビューア!$E266,C項目!$D:$D,0)),"")</f>
        <v/>
      </c>
      <c r="G266" t="str">
        <f>アイテム項目!$E266</f>
        <v>I-00259</v>
      </c>
      <c r="H266" t="str">
        <f>アイテム項目!$F266</f>
        <v>ボンド</v>
      </c>
      <c r="I266">
        <f>アイテム項目!$G266</f>
        <v>0</v>
      </c>
      <c r="J266">
        <f>アイテム項目!$H266</f>
        <v>0</v>
      </c>
      <c r="K266">
        <f>アイテム項目!$I266</f>
        <v>0</v>
      </c>
    </row>
    <row r="267" spans="1:11">
      <c r="A267" t="str">
        <f>IFERROR(INDEX(T項目!$A:$A,MATCH(アイテムビューア!$C267,T項目!$D:$D,0)),"")</f>
        <v/>
      </c>
      <c r="B267" t="str">
        <f>IFERROR(INDEX(S項目!$B:$B,MATCH(アイテムビューア!$A267,S項目!$A:$A,0)),"")</f>
        <v/>
      </c>
      <c r="C267" t="str">
        <f>IFERROR(INDEX(C項目!$A:$A,MATCH(アイテムビューア!$E267,C項目!$D:$D,0)),"")</f>
        <v/>
      </c>
      <c r="D267" t="str">
        <f>IFERROR(INDEX(T項目!$E:$E,MATCH(アイテムビューア!$C267,T項目!$D:$D,0)),"")</f>
        <v/>
      </c>
      <c r="E267" t="str">
        <f>アイテム項目!$A267</f>
        <v>T-0201</v>
      </c>
      <c r="F267" t="str">
        <f>IFERROR(INDEX(C項目!$E:$E,MATCH(アイテムビューア!$E267,C項目!$D:$D,0)),"")</f>
        <v/>
      </c>
      <c r="G267" t="str">
        <f>アイテム項目!$E267</f>
        <v>I-00260</v>
      </c>
      <c r="H267" t="str">
        <f>アイテム項目!$F267</f>
        <v>ハサミ</v>
      </c>
      <c r="I267">
        <f>アイテム項目!$G267</f>
        <v>0</v>
      </c>
      <c r="J267">
        <f>アイテム項目!$H267</f>
        <v>0</v>
      </c>
      <c r="K267">
        <f>アイテム項目!$I267</f>
        <v>0</v>
      </c>
    </row>
    <row r="268" spans="1:11">
      <c r="A268" t="str">
        <f>IFERROR(INDEX(T項目!$A:$A,MATCH(アイテムビューア!$C268,T項目!$D:$D,0)),"")</f>
        <v/>
      </c>
      <c r="B268" t="str">
        <f>IFERROR(INDEX(S項目!$B:$B,MATCH(アイテムビューア!$A268,S項目!$A:$A,0)),"")</f>
        <v/>
      </c>
      <c r="C268" t="str">
        <f>IFERROR(INDEX(C項目!$A:$A,MATCH(アイテムビューア!$E268,C項目!$D:$D,0)),"")</f>
        <v/>
      </c>
      <c r="D268" t="str">
        <f>IFERROR(INDEX(T項目!$E:$E,MATCH(アイテムビューア!$C268,T項目!$D:$D,0)),"")</f>
        <v/>
      </c>
      <c r="E268" t="str">
        <f>アイテム項目!$A268</f>
        <v>T-0201</v>
      </c>
      <c r="F268" t="str">
        <f>IFERROR(INDEX(C項目!$E:$E,MATCH(アイテムビューア!$E268,C項目!$D:$D,0)),"")</f>
        <v/>
      </c>
      <c r="G268" t="str">
        <f>アイテム項目!$E268</f>
        <v>I-00261</v>
      </c>
      <c r="H268" t="str">
        <f>アイテム項目!$F268</f>
        <v>ペン型精密工具</v>
      </c>
      <c r="I268">
        <f>アイテム項目!$G268</f>
        <v>0</v>
      </c>
      <c r="J268">
        <f>アイテム項目!$H268</f>
        <v>0</v>
      </c>
      <c r="K268">
        <f>アイテム項目!$I268</f>
        <v>0</v>
      </c>
    </row>
    <row r="269" spans="1:11">
      <c r="A269" t="str">
        <f>IFERROR(INDEX(T項目!$A:$A,MATCH(アイテムビューア!$C269,T項目!$D:$D,0)),"")</f>
        <v/>
      </c>
      <c r="B269" t="str">
        <f>IFERROR(INDEX(S項目!$B:$B,MATCH(アイテムビューア!$A269,S項目!$A:$A,0)),"")</f>
        <v/>
      </c>
      <c r="C269" t="str">
        <f>IFERROR(INDEX(C項目!$A:$A,MATCH(アイテムビューア!$E269,C項目!$D:$D,0)),"")</f>
        <v/>
      </c>
      <c r="D269" t="str">
        <f>IFERROR(INDEX(T項目!$E:$E,MATCH(アイテムビューア!$C269,T項目!$D:$D,0)),"")</f>
        <v/>
      </c>
      <c r="E269" t="str">
        <f>アイテム項目!$A269</f>
        <v>T-0201</v>
      </c>
      <c r="F269" t="str">
        <f>IFERROR(INDEX(C項目!$E:$E,MATCH(アイテムビューア!$E269,C項目!$D:$D,0)),"")</f>
        <v/>
      </c>
      <c r="G269" t="str">
        <f>アイテム項目!$E269</f>
        <v>I-00262</v>
      </c>
      <c r="H269" t="str">
        <f>アイテム項目!$F269</f>
        <v>小型カッター</v>
      </c>
      <c r="I269">
        <f>アイテム項目!$G269</f>
        <v>0</v>
      </c>
      <c r="J269">
        <f>アイテム項目!$H269</f>
        <v>0</v>
      </c>
      <c r="K269">
        <f>アイテム項目!$I269</f>
        <v>0</v>
      </c>
    </row>
    <row r="270" spans="1:11">
      <c r="A270" t="str">
        <f>IFERROR(INDEX(T項目!$A:$A,MATCH(アイテムビューア!$C270,T項目!$D:$D,0)),"")</f>
        <v/>
      </c>
      <c r="B270" t="str">
        <f>IFERROR(INDEX(S項目!$B:$B,MATCH(アイテムビューア!$A270,S項目!$A:$A,0)),"")</f>
        <v/>
      </c>
      <c r="C270" t="str">
        <f>IFERROR(INDEX(C項目!$A:$A,MATCH(アイテムビューア!$E270,C項目!$D:$D,0)),"")</f>
        <v/>
      </c>
      <c r="D270" t="str">
        <f>IFERROR(INDEX(T項目!$E:$E,MATCH(アイテムビューア!$C270,T項目!$D:$D,0)),"")</f>
        <v/>
      </c>
      <c r="E270" t="str">
        <f>アイテム項目!$A270</f>
        <v>T-0201</v>
      </c>
      <c r="F270" t="str">
        <f>IFERROR(INDEX(C項目!$E:$E,MATCH(アイテムビューア!$E270,C項目!$D:$D,0)),"")</f>
        <v/>
      </c>
      <c r="G270" t="str">
        <f>アイテム項目!$E270</f>
        <v>I-00263</v>
      </c>
      <c r="H270" t="str">
        <f>アイテム項目!$F270</f>
        <v>卓上マルチスタンド</v>
      </c>
      <c r="I270">
        <f>アイテム項目!$G270</f>
        <v>0</v>
      </c>
      <c r="J270">
        <f>アイテム項目!$H270</f>
        <v>0</v>
      </c>
      <c r="K270">
        <f>アイテム項目!$I270</f>
        <v>0</v>
      </c>
    </row>
    <row r="271" spans="1:11">
      <c r="A271" t="str">
        <f>IFERROR(INDEX(T項目!$A:$A,MATCH(アイテムビューア!$C271,T項目!$D:$D,0)),"")</f>
        <v/>
      </c>
      <c r="B271" t="str">
        <f>IFERROR(INDEX(S項目!$B:$B,MATCH(アイテムビューア!$A271,S項目!$A:$A,0)),"")</f>
        <v/>
      </c>
      <c r="C271" t="str">
        <f>IFERROR(INDEX(C項目!$A:$A,MATCH(アイテムビューア!$E271,C項目!$D:$D,0)),"")</f>
        <v/>
      </c>
      <c r="D271" t="str">
        <f>IFERROR(INDEX(T項目!$E:$E,MATCH(アイテムビューア!$C271,T項目!$D:$D,0)),"")</f>
        <v/>
      </c>
      <c r="E271">
        <f>アイテム項目!$A271</f>
        <v>0</v>
      </c>
      <c r="F271" t="str">
        <f>IFERROR(INDEX(C項目!$E:$E,MATCH(アイテムビューア!$E271,C項目!$D:$D,0)),"")</f>
        <v/>
      </c>
      <c r="G271">
        <f>アイテム項目!$E271</f>
        <v>0</v>
      </c>
      <c r="H271">
        <f>アイテム項目!$F271</f>
        <v>0</v>
      </c>
      <c r="I271">
        <f>アイテム項目!$G271</f>
        <v>0</v>
      </c>
      <c r="J271">
        <f>アイテム項目!$H271</f>
        <v>0</v>
      </c>
      <c r="K271">
        <f>アイテム項目!$I271</f>
        <v>0</v>
      </c>
    </row>
    <row r="272" spans="1:11">
      <c r="A272" t="str">
        <f>IFERROR(INDEX(T項目!$A:$A,MATCH(アイテムビューア!$C272,T項目!$D:$D,0)),"")</f>
        <v/>
      </c>
      <c r="B272" t="str">
        <f>IFERROR(INDEX(S項目!$B:$B,MATCH(アイテムビューア!$A272,S項目!$A:$A,0)),"")</f>
        <v/>
      </c>
      <c r="C272" t="str">
        <f>IFERROR(INDEX(C項目!$A:$A,MATCH(アイテムビューア!$E272,C項目!$D:$D,0)),"")</f>
        <v/>
      </c>
      <c r="D272" t="str">
        <f>IFERROR(INDEX(T項目!$E:$E,MATCH(アイテムビューア!$C272,T項目!$D:$D,0)),"")</f>
        <v/>
      </c>
      <c r="E272" t="str">
        <f>アイテム項目!$A272</f>
        <v>T-0202</v>
      </c>
      <c r="F272" t="str">
        <f>IFERROR(INDEX(C項目!$E:$E,MATCH(アイテムビューア!$E272,C項目!$D:$D,0)),"")</f>
        <v/>
      </c>
      <c r="G272" t="str">
        <f>アイテム項目!$E272</f>
        <v>I-00264</v>
      </c>
      <c r="H272" t="str">
        <f>アイテム項目!$F272</f>
        <v>Haier</v>
      </c>
      <c r="I272" t="str">
        <f>アイテム項目!$G272</f>
        <v>リモコン</v>
      </c>
      <c r="J272">
        <f>アイテム項目!$H272</f>
        <v>0</v>
      </c>
      <c r="K272">
        <f>アイテム項目!$I272</f>
        <v>0</v>
      </c>
    </row>
    <row r="273" spans="1:11">
      <c r="A273" t="str">
        <f>IFERROR(INDEX(T項目!$A:$A,MATCH(アイテムビューア!$C273,T項目!$D:$D,0)),"")</f>
        <v/>
      </c>
      <c r="B273" t="str">
        <f>IFERROR(INDEX(S項目!$B:$B,MATCH(アイテムビューア!$A273,S項目!$A:$A,0)),"")</f>
        <v/>
      </c>
      <c r="C273" t="str">
        <f>IFERROR(INDEX(C項目!$A:$A,MATCH(アイテムビューア!$E273,C項目!$D:$D,0)),"")</f>
        <v/>
      </c>
      <c r="D273" t="str">
        <f>IFERROR(INDEX(T項目!$E:$E,MATCH(アイテムビューア!$C273,T項目!$D:$D,0)),"")</f>
        <v/>
      </c>
      <c r="E273" t="str">
        <f>アイテム項目!$A273</f>
        <v>T-0202</v>
      </c>
      <c r="F273" t="str">
        <f>IFERROR(INDEX(C項目!$E:$E,MATCH(アイテムビューア!$E273,C項目!$D:$D,0)),"")</f>
        <v/>
      </c>
      <c r="G273" t="str">
        <f>アイテム項目!$E273</f>
        <v>I-00265</v>
      </c>
      <c r="H273" t="str">
        <f>アイテム項目!$F273</f>
        <v>YAMAZEN</v>
      </c>
      <c r="I273" t="str">
        <f>アイテム項目!$G273</f>
        <v>リモコン</v>
      </c>
      <c r="J273">
        <f>アイテム項目!$H273</f>
        <v>0</v>
      </c>
      <c r="K273">
        <f>アイテム項目!$I273</f>
        <v>0</v>
      </c>
    </row>
    <row r="274" spans="1:11">
      <c r="A274" t="str">
        <f>IFERROR(INDEX(T項目!$A:$A,MATCH(アイテムビューア!$C274,T項目!$D:$D,0)),"")</f>
        <v/>
      </c>
      <c r="B274" t="str">
        <f>IFERROR(INDEX(S項目!$B:$B,MATCH(アイテムビューア!$A274,S項目!$A:$A,0)),"")</f>
        <v/>
      </c>
      <c r="C274" t="str">
        <f>IFERROR(INDEX(C項目!$A:$A,MATCH(アイテムビューア!$E274,C項目!$D:$D,0)),"")</f>
        <v/>
      </c>
      <c r="D274" t="str">
        <f>IFERROR(INDEX(T項目!$E:$E,MATCH(アイテムビューア!$C274,T項目!$D:$D,0)),"")</f>
        <v/>
      </c>
      <c r="E274" t="str">
        <f>アイテム項目!$A274</f>
        <v>T-0203</v>
      </c>
      <c r="F274" t="str">
        <f>IFERROR(INDEX(C項目!$E:$E,MATCH(アイテムビューア!$E274,C項目!$D:$D,0)),"")</f>
        <v/>
      </c>
      <c r="G274" t="str">
        <f>アイテム項目!$E274</f>
        <v>I-00266</v>
      </c>
      <c r="H274" t="str">
        <f>アイテム項目!$F274</f>
        <v>ミニカッター</v>
      </c>
      <c r="I274" t="str">
        <f>アイテム項目!$G274</f>
        <v>2本入</v>
      </c>
      <c r="J274">
        <f>アイテム項目!$H274</f>
        <v>0</v>
      </c>
      <c r="K274">
        <f>アイテム項目!$I274</f>
        <v>0</v>
      </c>
    </row>
    <row r="275" spans="1:11">
      <c r="A275" t="str">
        <f>IFERROR(INDEX(T項目!$A:$A,MATCH(アイテムビューア!$C275,T項目!$D:$D,0)),"")</f>
        <v/>
      </c>
      <c r="B275" t="str">
        <f>IFERROR(INDEX(S項目!$B:$B,MATCH(アイテムビューア!$A275,S項目!$A:$A,0)),"")</f>
        <v/>
      </c>
      <c r="C275" t="str">
        <f>IFERROR(INDEX(C項目!$A:$A,MATCH(アイテムビューア!$E275,C項目!$D:$D,0)),"")</f>
        <v/>
      </c>
      <c r="D275" t="str">
        <f>IFERROR(INDEX(T項目!$E:$E,MATCH(アイテムビューア!$C275,T項目!$D:$D,0)),"")</f>
        <v/>
      </c>
      <c r="E275" t="str">
        <f>アイテム項目!$A275</f>
        <v>T-0203</v>
      </c>
      <c r="F275" t="str">
        <f>IFERROR(INDEX(C項目!$E:$E,MATCH(アイテムビューア!$E275,C項目!$D:$D,0)),"")</f>
        <v/>
      </c>
      <c r="G275" t="str">
        <f>アイテム項目!$E275</f>
        <v>I-00267</v>
      </c>
      <c r="H275" t="str">
        <f>アイテム項目!$F275</f>
        <v>LED電球</v>
      </c>
      <c r="I275">
        <f>アイテム項目!$G275</f>
        <v>0</v>
      </c>
      <c r="J275">
        <f>アイテム項目!$H275</f>
        <v>0</v>
      </c>
      <c r="K275">
        <f>アイテム項目!$I275</f>
        <v>0</v>
      </c>
    </row>
    <row r="276" spans="1:11">
      <c r="A276" t="str">
        <f>IFERROR(INDEX(T項目!$A:$A,MATCH(アイテムビューア!$C276,T項目!$D:$D,0)),"")</f>
        <v/>
      </c>
      <c r="B276" t="str">
        <f>IFERROR(INDEX(S項目!$B:$B,MATCH(アイテムビューア!$A276,S項目!$A:$A,0)),"")</f>
        <v/>
      </c>
      <c r="C276" t="str">
        <f>IFERROR(INDEX(C項目!$A:$A,MATCH(アイテムビューア!$E276,C項目!$D:$D,0)),"")</f>
        <v/>
      </c>
      <c r="D276" t="str">
        <f>IFERROR(INDEX(T項目!$E:$E,MATCH(アイテムビューア!$C276,T項目!$D:$D,0)),"")</f>
        <v/>
      </c>
      <c r="E276" t="str">
        <f>アイテム項目!$A276</f>
        <v>T-0203</v>
      </c>
      <c r="F276" t="str">
        <f>IFERROR(INDEX(C項目!$E:$E,MATCH(アイテムビューア!$E276,C項目!$D:$D,0)),"")</f>
        <v/>
      </c>
      <c r="G276" t="str">
        <f>アイテム項目!$E276</f>
        <v>I-00268</v>
      </c>
      <c r="H276" t="str">
        <f>アイテム項目!$F276</f>
        <v>マスキングテープ</v>
      </c>
      <c r="I276">
        <f>アイテム項目!$G276</f>
        <v>0</v>
      </c>
      <c r="J276">
        <f>アイテム項目!$H276</f>
        <v>0</v>
      </c>
      <c r="K276">
        <f>アイテム項目!$I276</f>
        <v>0</v>
      </c>
    </row>
    <row r="277" spans="1:11">
      <c r="A277" t="str">
        <f>IFERROR(INDEX(T項目!$A:$A,MATCH(アイテムビューア!$C277,T項目!$D:$D,0)),"")</f>
        <v/>
      </c>
      <c r="B277" t="str">
        <f>IFERROR(INDEX(S項目!$B:$B,MATCH(アイテムビューア!$A277,S項目!$A:$A,0)),"")</f>
        <v/>
      </c>
      <c r="C277" t="str">
        <f>IFERROR(INDEX(C項目!$A:$A,MATCH(アイテムビューア!$E277,C項目!$D:$D,0)),"")</f>
        <v/>
      </c>
      <c r="D277" t="str">
        <f>IFERROR(INDEX(T項目!$E:$E,MATCH(アイテムビューア!$C277,T項目!$D:$D,0)),"")</f>
        <v/>
      </c>
      <c r="E277" t="str">
        <f>アイテム項目!$A277</f>
        <v>T-0203</v>
      </c>
      <c r="F277" t="str">
        <f>IFERROR(INDEX(C項目!$E:$E,MATCH(アイテムビューア!$E277,C項目!$D:$D,0)),"")</f>
        <v/>
      </c>
      <c r="G277" t="str">
        <f>アイテム項目!$E277</f>
        <v>I-00269</v>
      </c>
      <c r="H277" t="str">
        <f>アイテム項目!$F277</f>
        <v>黒マジックペン</v>
      </c>
      <c r="I277" t="str">
        <f>アイテム項目!$G277</f>
        <v>マジックペン</v>
      </c>
      <c r="J277">
        <f>アイテム項目!$H277</f>
        <v>0</v>
      </c>
      <c r="K277">
        <f>アイテム項目!$I277</f>
        <v>0</v>
      </c>
    </row>
    <row r="278" spans="1:11">
      <c r="A278" t="str">
        <f>IFERROR(INDEX(T項目!$A:$A,MATCH(アイテムビューア!$C278,T項目!$D:$D,0)),"")</f>
        <v/>
      </c>
      <c r="B278" t="str">
        <f>IFERROR(INDEX(S項目!$B:$B,MATCH(アイテムビューア!$A278,S項目!$A:$A,0)),"")</f>
        <v/>
      </c>
      <c r="C278" t="str">
        <f>IFERROR(INDEX(C項目!$A:$A,MATCH(アイテムビューア!$E278,C項目!$D:$D,0)),"")</f>
        <v/>
      </c>
      <c r="D278" t="str">
        <f>IFERROR(INDEX(T項目!$E:$E,MATCH(アイテムビューア!$C278,T項目!$D:$D,0)),"")</f>
        <v/>
      </c>
      <c r="E278" t="str">
        <f>アイテム項目!$A278</f>
        <v>T-0203</v>
      </c>
      <c r="F278" t="str">
        <f>IFERROR(INDEX(C項目!$E:$E,MATCH(アイテムビューア!$E278,C項目!$D:$D,0)),"")</f>
        <v/>
      </c>
      <c r="G278" t="str">
        <f>アイテム項目!$E278</f>
        <v>I-00270</v>
      </c>
      <c r="H278" t="str">
        <f>アイテム項目!$F278</f>
        <v>TWIN MARKER 黒</v>
      </c>
      <c r="I278">
        <f>アイテム項目!$G278</f>
        <v>0</v>
      </c>
      <c r="J278">
        <f>アイテム項目!$H278</f>
        <v>0</v>
      </c>
      <c r="K278">
        <f>アイテム項目!$I278</f>
        <v>0</v>
      </c>
    </row>
    <row r="279" spans="1:11">
      <c r="A279" t="str">
        <f>IFERROR(INDEX(T項目!$A:$A,MATCH(アイテムビューア!$C279,T項目!$D:$D,0)),"")</f>
        <v/>
      </c>
      <c r="B279" t="str">
        <f>IFERROR(INDEX(S項目!$B:$B,MATCH(アイテムビューア!$A279,S項目!$A:$A,0)),"")</f>
        <v/>
      </c>
      <c r="C279" t="str">
        <f>IFERROR(INDEX(C項目!$A:$A,MATCH(アイテムビューア!$E279,C項目!$D:$D,0)),"")</f>
        <v/>
      </c>
      <c r="D279" t="str">
        <f>IFERROR(INDEX(T項目!$E:$E,MATCH(アイテムビューア!$C279,T項目!$D:$D,0)),"")</f>
        <v/>
      </c>
      <c r="E279" t="str">
        <f>アイテム項目!$A279</f>
        <v>T-0203</v>
      </c>
      <c r="F279" t="str">
        <f>IFERROR(INDEX(C項目!$E:$E,MATCH(アイテムビューア!$E279,C項目!$D:$D,0)),"")</f>
        <v/>
      </c>
      <c r="G279" t="str">
        <f>アイテム項目!$E279</f>
        <v>I-00271</v>
      </c>
      <c r="H279" t="str">
        <f>アイテム項目!$F279</f>
        <v>白色</v>
      </c>
      <c r="I279" t="str">
        <f>アイテム項目!$G279</f>
        <v>歯ブラシ</v>
      </c>
      <c r="J279">
        <f>アイテム項目!$H279</f>
        <v>0</v>
      </c>
      <c r="K279">
        <f>アイテム項目!$I279</f>
        <v>0</v>
      </c>
    </row>
    <row r="280" spans="1:11">
      <c r="A280" t="str">
        <f>IFERROR(INDEX(T項目!$A:$A,MATCH(アイテムビューア!$C280,T項目!$D:$D,0)),"")</f>
        <v/>
      </c>
      <c r="B280" t="str">
        <f>IFERROR(INDEX(S項目!$B:$B,MATCH(アイテムビューア!$A280,S項目!$A:$A,0)),"")</f>
        <v/>
      </c>
      <c r="C280" t="str">
        <f>IFERROR(INDEX(C項目!$A:$A,MATCH(アイテムビューア!$E280,C項目!$D:$D,0)),"")</f>
        <v/>
      </c>
      <c r="D280" t="str">
        <f>IFERROR(INDEX(T項目!$E:$E,MATCH(アイテムビューア!$C280,T項目!$D:$D,0)),"")</f>
        <v/>
      </c>
      <c r="E280" t="str">
        <f>アイテム項目!$A280</f>
        <v>T-0203</v>
      </c>
      <c r="F280" t="str">
        <f>IFERROR(INDEX(C項目!$E:$E,MATCH(アイテムビューア!$E280,C項目!$D:$D,0)),"")</f>
        <v/>
      </c>
      <c r="G280" t="str">
        <f>アイテム項目!$E280</f>
        <v>I-00272</v>
      </c>
      <c r="H280" t="str">
        <f>アイテム項目!$F280</f>
        <v>カッターナイフ</v>
      </c>
      <c r="I280">
        <f>アイテム項目!$G280</f>
        <v>0</v>
      </c>
      <c r="J280">
        <f>アイテム項目!$H280</f>
        <v>0</v>
      </c>
      <c r="K280">
        <f>アイテム項目!$I280</f>
        <v>0</v>
      </c>
    </row>
    <row r="281" spans="1:11">
      <c r="A281" t="str">
        <f>IFERROR(INDEX(T項目!$A:$A,MATCH(アイテムビューア!$C281,T項目!$D:$D,0)),"")</f>
        <v/>
      </c>
      <c r="B281" t="str">
        <f>IFERROR(INDEX(S項目!$B:$B,MATCH(アイテムビューア!$A281,S項目!$A:$A,0)),"")</f>
        <v/>
      </c>
      <c r="C281" t="str">
        <f>IFERROR(INDEX(C項目!$A:$A,MATCH(アイテムビューア!$E281,C項目!$D:$D,0)),"")</f>
        <v/>
      </c>
      <c r="D281" t="str">
        <f>IFERROR(INDEX(T項目!$E:$E,MATCH(アイテムビューア!$C281,T項目!$D:$D,0)),"")</f>
        <v/>
      </c>
      <c r="E281" t="str">
        <f>アイテム項目!$A281</f>
        <v>T-0203</v>
      </c>
      <c r="F281" t="str">
        <f>IFERROR(INDEX(C項目!$E:$E,MATCH(アイテムビューア!$E281,C項目!$D:$D,0)),"")</f>
        <v/>
      </c>
      <c r="G281" t="str">
        <f>アイテム項目!$E281</f>
        <v>I-00273</v>
      </c>
      <c r="H281" t="str">
        <f>アイテム項目!$F281</f>
        <v>黒ボールペン</v>
      </c>
      <c r="I281" t="str">
        <f>アイテム項目!$G281</f>
        <v>ボールペン</v>
      </c>
      <c r="J281">
        <f>アイテム項目!$H281</f>
        <v>0</v>
      </c>
      <c r="K281">
        <f>アイテム項目!$I281</f>
        <v>0</v>
      </c>
    </row>
    <row r="282" spans="1:11">
      <c r="A282" t="str">
        <f>IFERROR(INDEX(T項目!$A:$A,MATCH(アイテムビューア!$C282,T項目!$D:$D,0)),"")</f>
        <v/>
      </c>
      <c r="B282" t="str">
        <f>IFERROR(INDEX(S項目!$B:$B,MATCH(アイテムビューア!$A282,S項目!$A:$A,0)),"")</f>
        <v/>
      </c>
      <c r="C282" t="str">
        <f>IFERROR(INDEX(C項目!$A:$A,MATCH(アイテムビューア!$E282,C項目!$D:$D,0)),"")</f>
        <v/>
      </c>
      <c r="D282" t="str">
        <f>IFERROR(INDEX(T項目!$E:$E,MATCH(アイテムビューア!$C282,T項目!$D:$D,0)),"")</f>
        <v/>
      </c>
      <c r="E282" t="str">
        <f>アイテム項目!$A282</f>
        <v>T-0203</v>
      </c>
      <c r="F282" t="str">
        <f>IFERROR(INDEX(C項目!$E:$E,MATCH(アイテムビューア!$E282,C項目!$D:$D,0)),"")</f>
        <v/>
      </c>
      <c r="G282" t="str">
        <f>アイテム項目!$E282</f>
        <v>I-00274</v>
      </c>
      <c r="H282" t="str">
        <f>アイテム項目!$F282</f>
        <v>グレー</v>
      </c>
      <c r="I282" t="str">
        <f>アイテム項目!$G282</f>
        <v>ペン</v>
      </c>
      <c r="J282">
        <f>アイテム項目!$H282</f>
        <v>0</v>
      </c>
      <c r="K282">
        <f>アイテム項目!$I282</f>
        <v>0</v>
      </c>
    </row>
    <row r="283" spans="1:11">
      <c r="A283" t="str">
        <f>IFERROR(INDEX(T項目!$A:$A,MATCH(アイテムビューア!$C283,T項目!$D:$D,0)),"")</f>
        <v/>
      </c>
      <c r="B283" t="str">
        <f>IFERROR(INDEX(S項目!$B:$B,MATCH(アイテムビューア!$A283,S項目!$A:$A,0)),"")</f>
        <v/>
      </c>
      <c r="C283" t="str">
        <f>IFERROR(INDEX(C項目!$A:$A,MATCH(アイテムビューア!$E283,C項目!$D:$D,0)),"")</f>
        <v/>
      </c>
      <c r="D283" t="str">
        <f>IFERROR(INDEX(T項目!$E:$E,MATCH(アイテムビューア!$C283,T項目!$D:$D,0)),"")</f>
        <v/>
      </c>
      <c r="E283" t="str">
        <f>アイテム項目!$A283</f>
        <v>T-0203</v>
      </c>
      <c r="F283" t="str">
        <f>IFERROR(INDEX(C項目!$E:$E,MATCH(アイテムビューア!$E283,C項目!$D:$D,0)),"")</f>
        <v/>
      </c>
      <c r="G283" t="str">
        <f>アイテム項目!$E283</f>
        <v>I-00275</v>
      </c>
      <c r="H283" t="str">
        <f>アイテム項目!$F283</f>
        <v>白ハサミ</v>
      </c>
      <c r="I283" t="str">
        <f>アイテム項目!$G283</f>
        <v>ハサミ</v>
      </c>
      <c r="J283">
        <f>アイテム項目!$H283</f>
        <v>0</v>
      </c>
      <c r="K283">
        <f>アイテム項目!$I283</f>
        <v>0</v>
      </c>
    </row>
    <row r="284" spans="1:11">
      <c r="A284" t="str">
        <f>IFERROR(INDEX(T項目!$A:$A,MATCH(アイテムビューア!$C284,T項目!$D:$D,0)),"")</f>
        <v/>
      </c>
      <c r="B284" t="str">
        <f>IFERROR(INDEX(S項目!$B:$B,MATCH(アイテムビューア!$A284,S項目!$A:$A,0)),"")</f>
        <v/>
      </c>
      <c r="C284" t="str">
        <f>IFERROR(INDEX(C項目!$A:$A,MATCH(アイテムビューア!$E284,C項目!$D:$D,0)),"")</f>
        <v/>
      </c>
      <c r="D284" t="str">
        <f>IFERROR(INDEX(T項目!$E:$E,MATCH(アイテムビューア!$C284,T項目!$D:$D,0)),"")</f>
        <v/>
      </c>
      <c r="E284" t="str">
        <f>アイテム項目!$A284</f>
        <v>T-0203</v>
      </c>
      <c r="F284" t="str">
        <f>IFERROR(INDEX(C項目!$E:$E,MATCH(アイテムビューア!$E284,C項目!$D:$D,0)),"")</f>
        <v/>
      </c>
      <c r="G284" t="str">
        <f>アイテム項目!$E284</f>
        <v>I-00276</v>
      </c>
      <c r="H284" t="str">
        <f>アイテム項目!$F284</f>
        <v>緑 指サック 5個入</v>
      </c>
      <c r="I284">
        <f>アイテム項目!$G284</f>
        <v>0</v>
      </c>
      <c r="J284">
        <f>アイテム項目!$H284</f>
        <v>0</v>
      </c>
      <c r="K284">
        <f>アイテム項目!$I284</f>
        <v>0</v>
      </c>
    </row>
    <row r="285" spans="1:11">
      <c r="A285" t="str">
        <f>IFERROR(INDEX(T項目!$A:$A,MATCH(アイテムビューア!$C285,T項目!$D:$D,0)),"")</f>
        <v/>
      </c>
      <c r="B285" t="str">
        <f>IFERROR(INDEX(S項目!$B:$B,MATCH(アイテムビューア!$A285,S項目!$A:$A,0)),"")</f>
        <v/>
      </c>
      <c r="C285" t="str">
        <f>IFERROR(INDEX(C項目!$A:$A,MATCH(アイテムビューア!$E285,C項目!$D:$D,0)),"")</f>
        <v/>
      </c>
      <c r="D285" t="str">
        <f>IFERROR(INDEX(T項目!$E:$E,MATCH(アイテムビューア!$C285,T項目!$D:$D,0)),"")</f>
        <v/>
      </c>
      <c r="E285" t="str">
        <f>アイテム項目!$A285</f>
        <v>T-0203</v>
      </c>
      <c r="F285" t="str">
        <f>IFERROR(INDEX(C項目!$E:$E,MATCH(アイテムビューア!$E285,C項目!$D:$D,0)),"")</f>
        <v/>
      </c>
      <c r="G285" t="str">
        <f>アイテム項目!$E285</f>
        <v>I-00277</v>
      </c>
      <c r="H285" t="str">
        <f>アイテム項目!$F285</f>
        <v>ホッチキス</v>
      </c>
      <c r="I285">
        <f>アイテム項目!$G285</f>
        <v>0</v>
      </c>
      <c r="J285">
        <f>アイテム項目!$H285</f>
        <v>0</v>
      </c>
      <c r="K285">
        <f>アイテム項目!$I285</f>
        <v>0</v>
      </c>
    </row>
    <row r="286" spans="1:11">
      <c r="A286" t="str">
        <f>IFERROR(INDEX(T項目!$A:$A,MATCH(アイテムビューア!$C286,T項目!$D:$D,0)),"")</f>
        <v/>
      </c>
      <c r="B286" t="str">
        <f>IFERROR(INDEX(S項目!$B:$B,MATCH(アイテムビューア!$A286,S項目!$A:$A,0)),"")</f>
        <v/>
      </c>
      <c r="C286" t="str">
        <f>IFERROR(INDEX(C項目!$A:$A,MATCH(アイテムビューア!$E286,C項目!$D:$D,0)),"")</f>
        <v/>
      </c>
      <c r="D286" t="str">
        <f>IFERROR(INDEX(T項目!$E:$E,MATCH(アイテムビューア!$C286,T項目!$D:$D,0)),"")</f>
        <v/>
      </c>
      <c r="E286" t="str">
        <f>アイテム項目!$A286</f>
        <v>T-0203</v>
      </c>
      <c r="F286" t="str">
        <f>IFERROR(INDEX(C項目!$E:$E,MATCH(アイテムビューア!$E286,C項目!$D:$D,0)),"")</f>
        <v/>
      </c>
      <c r="G286" t="str">
        <f>アイテム項目!$E286</f>
        <v>I-00278</v>
      </c>
      <c r="H286" t="str">
        <f>アイテム項目!$F286</f>
        <v>黒テープ</v>
      </c>
      <c r="I286" t="str">
        <f>アイテム項目!$G286</f>
        <v>テープ</v>
      </c>
      <c r="J286">
        <f>アイテム項目!$H286</f>
        <v>0</v>
      </c>
      <c r="K286">
        <f>アイテム項目!$I286</f>
        <v>0</v>
      </c>
    </row>
    <row r="287" spans="1:11">
      <c r="A287" t="str">
        <f>IFERROR(INDEX(T項目!$A:$A,MATCH(アイテムビューア!$C287,T項目!$D:$D,0)),"")</f>
        <v/>
      </c>
      <c r="B287" t="str">
        <f>IFERROR(INDEX(S項目!$B:$B,MATCH(アイテムビューア!$A287,S項目!$A:$A,0)),"")</f>
        <v/>
      </c>
      <c r="C287" t="str">
        <f>IFERROR(INDEX(C項目!$A:$A,MATCH(アイテムビューア!$E287,C項目!$D:$D,0)),"")</f>
        <v/>
      </c>
      <c r="D287" t="str">
        <f>IFERROR(INDEX(T項目!$E:$E,MATCH(アイテムビューア!$C287,T項目!$D:$D,0)),"")</f>
        <v/>
      </c>
      <c r="E287" t="str">
        <f>アイテム項目!$A287</f>
        <v>T-0203</v>
      </c>
      <c r="F287" t="str">
        <f>IFERROR(INDEX(C項目!$E:$E,MATCH(アイテムビューア!$E287,C項目!$D:$D,0)),"")</f>
        <v/>
      </c>
      <c r="G287" t="str">
        <f>アイテム項目!$E287</f>
        <v>I-00279</v>
      </c>
      <c r="H287" t="str">
        <f>アイテム項目!$F287</f>
        <v>超強力両面テープ</v>
      </c>
      <c r="I287">
        <f>アイテム項目!$G287</f>
        <v>0</v>
      </c>
      <c r="J287">
        <f>アイテム項目!$H287</f>
        <v>0</v>
      </c>
      <c r="K287">
        <f>アイテム項目!$I287</f>
        <v>0</v>
      </c>
    </row>
    <row r="288" spans="1:11">
      <c r="A288" t="str">
        <f>IFERROR(INDEX(T項目!$A:$A,MATCH(アイテムビューア!$C288,T項目!$D:$D,0)),"")</f>
        <v/>
      </c>
      <c r="B288" t="str">
        <f>IFERROR(INDEX(S項目!$B:$B,MATCH(アイテムビューア!$A288,S項目!$A:$A,0)),"")</f>
        <v/>
      </c>
      <c r="C288" t="str">
        <f>IFERROR(INDEX(C項目!$A:$A,MATCH(アイテムビューア!$E288,C項目!$D:$D,0)),"")</f>
        <v/>
      </c>
      <c r="D288" t="str">
        <f>IFERROR(INDEX(T項目!$E:$E,MATCH(アイテムビューア!$C288,T項目!$D:$D,0)),"")</f>
        <v/>
      </c>
      <c r="E288" t="str">
        <f>アイテム項目!$A288</f>
        <v>T-0203</v>
      </c>
      <c r="F288" t="str">
        <f>IFERROR(INDEX(C項目!$E:$E,MATCH(アイテムビューア!$E288,C項目!$D:$D,0)),"")</f>
        <v/>
      </c>
      <c r="G288" t="str">
        <f>アイテム項目!$E288</f>
        <v>I-00280</v>
      </c>
      <c r="H288" t="str">
        <f>アイテム項目!$F288</f>
        <v>30cm</v>
      </c>
      <c r="I288" t="str">
        <f>アイテム項目!$G288</f>
        <v>定規</v>
      </c>
      <c r="J288">
        <f>アイテム項目!$H288</f>
        <v>0</v>
      </c>
      <c r="K288">
        <f>アイテム項目!$I288</f>
        <v>0</v>
      </c>
    </row>
    <row r="289" spans="1:11">
      <c r="A289" t="str">
        <f>IFERROR(INDEX(T項目!$A:$A,MATCH(アイテムビューア!$C289,T項目!$D:$D,0)),"")</f>
        <v/>
      </c>
      <c r="B289" t="str">
        <f>IFERROR(INDEX(S項目!$B:$B,MATCH(アイテムビューア!$A289,S項目!$A:$A,0)),"")</f>
        <v/>
      </c>
      <c r="C289" t="str">
        <f>IFERROR(INDEX(C項目!$A:$A,MATCH(アイテムビューア!$E289,C項目!$D:$D,0)),"")</f>
        <v/>
      </c>
      <c r="D289" t="str">
        <f>IFERROR(INDEX(T項目!$E:$E,MATCH(アイテムビューア!$C289,T項目!$D:$D,0)),"")</f>
        <v/>
      </c>
      <c r="E289" t="str">
        <f>アイテム項目!$A289</f>
        <v>T-0203</v>
      </c>
      <c r="F289" t="str">
        <f>IFERROR(INDEX(C項目!$E:$E,MATCH(アイテムビューア!$E289,C項目!$D:$D,0)),"")</f>
        <v/>
      </c>
      <c r="G289" t="str">
        <f>アイテム項目!$E289</f>
        <v>I-00281</v>
      </c>
      <c r="H289" t="str">
        <f>アイテム項目!$F289</f>
        <v>クリップ</v>
      </c>
      <c r="I289">
        <f>アイテム項目!$G289</f>
        <v>0</v>
      </c>
      <c r="J289">
        <f>アイテム項目!$H289</f>
        <v>0</v>
      </c>
      <c r="K289">
        <f>アイテム項目!$I289</f>
        <v>0</v>
      </c>
    </row>
    <row r="290" spans="1:11">
      <c r="A290" t="str">
        <f>IFERROR(INDEX(T項目!$A:$A,MATCH(アイテムビューア!$C290,T項目!$D:$D,0)),"")</f>
        <v/>
      </c>
      <c r="B290" t="str">
        <f>IFERROR(INDEX(S項目!$B:$B,MATCH(アイテムビューア!$A290,S項目!$A:$A,0)),"")</f>
        <v/>
      </c>
      <c r="C290" t="str">
        <f>IFERROR(INDEX(C項目!$A:$A,MATCH(アイテムビューア!$E290,C項目!$D:$D,0)),"")</f>
        <v/>
      </c>
      <c r="D290" t="str">
        <f>IFERROR(INDEX(T項目!$E:$E,MATCH(アイテムビューア!$C290,T項目!$D:$D,0)),"")</f>
        <v/>
      </c>
      <c r="E290">
        <f>アイテム項目!$A290</f>
        <v>0</v>
      </c>
      <c r="F290" t="str">
        <f>IFERROR(INDEX(C項目!$E:$E,MATCH(アイテムビューア!$E290,C項目!$D:$D,0)),"")</f>
        <v/>
      </c>
      <c r="G290">
        <f>アイテム項目!$E290</f>
        <v>0</v>
      </c>
      <c r="H290">
        <f>アイテム項目!$F290</f>
        <v>0</v>
      </c>
      <c r="I290">
        <f>アイテム項目!$G290</f>
        <v>0</v>
      </c>
      <c r="J290">
        <f>アイテム項目!$H290</f>
        <v>0</v>
      </c>
      <c r="K290">
        <f>アイテム項目!$I290</f>
        <v>0</v>
      </c>
    </row>
    <row r="291" spans="1:11">
      <c r="A291" t="str">
        <f>IFERROR(INDEX(T項目!$A:$A,MATCH(アイテムビューア!$C291,T項目!$D:$D,0)),"")</f>
        <v/>
      </c>
      <c r="B291" t="str">
        <f>IFERROR(INDEX(S項目!$B:$B,MATCH(アイテムビューア!$A291,S項目!$A:$A,0)),"")</f>
        <v/>
      </c>
      <c r="C291" t="str">
        <f>IFERROR(INDEX(C項目!$A:$A,MATCH(アイテムビューア!$E291,C項目!$D:$D,0)),"")</f>
        <v/>
      </c>
      <c r="D291" t="str">
        <f>IFERROR(INDEX(T項目!$E:$E,MATCH(アイテムビューア!$C291,T項目!$D:$D,0)),"")</f>
        <v/>
      </c>
      <c r="E291" t="str">
        <f>アイテム項目!$A291</f>
        <v>T-0204</v>
      </c>
      <c r="F291" t="str">
        <f>IFERROR(INDEX(C項目!$E:$E,MATCH(アイテムビューア!$E291,C項目!$D:$D,0)),"")</f>
        <v/>
      </c>
      <c r="G291" t="str">
        <f>アイテム項目!$E291</f>
        <v>I-00282</v>
      </c>
      <c r="H291" t="str">
        <f>アイテム項目!$F291</f>
        <v>ステレオイヤホン</v>
      </c>
      <c r="I291" t="str">
        <f>アイテム項目!$G291</f>
        <v>リール式</v>
      </c>
      <c r="J291">
        <f>アイテム項目!$H291</f>
        <v>0</v>
      </c>
      <c r="K291">
        <f>アイテム項目!$I291</f>
        <v>0</v>
      </c>
    </row>
    <row r="292" spans="1:11">
      <c r="A292" t="str">
        <f>IFERROR(INDEX(T項目!$A:$A,MATCH(アイテムビューア!$C292,T項目!$D:$D,0)),"")</f>
        <v/>
      </c>
      <c r="B292" t="str">
        <f>IFERROR(INDEX(S項目!$B:$B,MATCH(アイテムビューア!$A292,S項目!$A:$A,0)),"")</f>
        <v/>
      </c>
      <c r="C292" t="str">
        <f>IFERROR(INDEX(C項目!$A:$A,MATCH(アイテムビューア!$E292,C項目!$D:$D,0)),"")</f>
        <v/>
      </c>
      <c r="D292" t="str">
        <f>IFERROR(INDEX(T項目!$E:$E,MATCH(アイテムビューア!$C292,T項目!$D:$D,0)),"")</f>
        <v/>
      </c>
      <c r="E292" t="str">
        <f>アイテム項目!$A292</f>
        <v>T-0204</v>
      </c>
      <c r="F292" t="str">
        <f>IFERROR(INDEX(C項目!$E:$E,MATCH(アイテムビューア!$E292,C項目!$D:$D,0)),"")</f>
        <v/>
      </c>
      <c r="G292" t="str">
        <f>アイテム項目!$E292</f>
        <v>I-00283</v>
      </c>
      <c r="H292" t="str">
        <f>アイテム項目!$F292</f>
        <v>QianLi</v>
      </c>
      <c r="I292" t="str">
        <f>アイテム項目!$G292</f>
        <v>ツール袋</v>
      </c>
      <c r="J292">
        <f>アイテム項目!$H292</f>
        <v>0</v>
      </c>
      <c r="K292">
        <f>アイテム項目!$I292</f>
        <v>0</v>
      </c>
    </row>
    <row r="293" spans="1:11">
      <c r="A293" t="str">
        <f>IFERROR(INDEX(T項目!$A:$A,MATCH(アイテムビューア!$C293,T項目!$D:$D,0)),"")</f>
        <v/>
      </c>
      <c r="B293" t="str">
        <f>IFERROR(INDEX(S項目!$B:$B,MATCH(アイテムビューア!$A293,S項目!$A:$A,0)),"")</f>
        <v/>
      </c>
      <c r="C293" t="str">
        <f>IFERROR(INDEX(C項目!$A:$A,MATCH(アイテムビューア!$E293,C項目!$D:$D,0)),"")</f>
        <v/>
      </c>
      <c r="D293" t="str">
        <f>IFERROR(INDEX(T項目!$E:$E,MATCH(アイテムビューア!$C293,T項目!$D:$D,0)),"")</f>
        <v/>
      </c>
      <c r="E293" t="str">
        <f>アイテム項目!$A293</f>
        <v>T-0204</v>
      </c>
      <c r="F293" t="str">
        <f>IFERROR(INDEX(C項目!$E:$E,MATCH(アイテムビューア!$E293,C項目!$D:$D,0)),"")</f>
        <v/>
      </c>
      <c r="G293" t="str">
        <f>アイテム項目!$E293</f>
        <v>I-00284</v>
      </c>
      <c r="H293" t="str">
        <f>アイテム項目!$F293</f>
        <v>サングラス</v>
      </c>
      <c r="I293">
        <f>アイテム項目!$G293</f>
        <v>0</v>
      </c>
      <c r="J293">
        <f>アイテム項目!$H293</f>
        <v>0</v>
      </c>
      <c r="K293">
        <f>アイテム項目!$I293</f>
        <v>0</v>
      </c>
    </row>
    <row r="294" spans="1:11">
      <c r="A294" t="str">
        <f>IFERROR(INDEX(T項目!$A:$A,MATCH(アイテムビューア!$C294,T項目!$D:$D,0)),"")</f>
        <v/>
      </c>
      <c r="B294" t="str">
        <f>IFERROR(INDEX(S項目!$B:$B,MATCH(アイテムビューア!$A294,S項目!$A:$A,0)),"")</f>
        <v/>
      </c>
      <c r="C294" t="str">
        <f>IFERROR(INDEX(C項目!$A:$A,MATCH(アイテムビューア!$E294,C項目!$D:$D,0)),"")</f>
        <v/>
      </c>
      <c r="D294" t="str">
        <f>IFERROR(INDEX(T項目!$E:$E,MATCH(アイテムビューア!$C294,T項目!$D:$D,0)),"")</f>
        <v/>
      </c>
      <c r="E294" t="str">
        <f>アイテム項目!$A294</f>
        <v>T-0204</v>
      </c>
      <c r="F294" t="str">
        <f>IFERROR(INDEX(C項目!$E:$E,MATCH(アイテムビューア!$E294,C項目!$D:$D,0)),"")</f>
        <v/>
      </c>
      <c r="G294" t="str">
        <f>アイテム項目!$E294</f>
        <v>I-00285</v>
      </c>
      <c r="H294" t="str">
        <f>アイテム項目!$F294</f>
        <v>リール付ストラップ</v>
      </c>
      <c r="I294">
        <f>アイテム項目!$G294</f>
        <v>0</v>
      </c>
      <c r="J294">
        <f>アイテム項目!$H294</f>
        <v>0</v>
      </c>
      <c r="K294">
        <f>アイテム項目!$I294</f>
        <v>0</v>
      </c>
    </row>
    <row r="295" spans="1:11">
      <c r="A295" t="str">
        <f>IFERROR(INDEX(T項目!$A:$A,MATCH(アイテムビューア!$C295,T項目!$D:$D,0)),"")</f>
        <v/>
      </c>
      <c r="B295" t="str">
        <f>IFERROR(INDEX(S項目!$B:$B,MATCH(アイテムビューア!$A295,S項目!$A:$A,0)),"")</f>
        <v/>
      </c>
      <c r="C295" t="str">
        <f>IFERROR(INDEX(C項目!$A:$A,MATCH(アイテムビューア!$E295,C項目!$D:$D,0)),"")</f>
        <v/>
      </c>
      <c r="D295" t="str">
        <f>IFERROR(INDEX(T項目!$E:$E,MATCH(アイテムビューア!$C295,T項目!$D:$D,0)),"")</f>
        <v/>
      </c>
      <c r="E295" t="str">
        <f>アイテム項目!$A295</f>
        <v>T-0204</v>
      </c>
      <c r="F295" t="str">
        <f>IFERROR(INDEX(C項目!$E:$E,MATCH(アイテムビューア!$E295,C項目!$D:$D,0)),"")</f>
        <v/>
      </c>
      <c r="G295" t="str">
        <f>アイテム項目!$E295</f>
        <v>I-00286</v>
      </c>
      <c r="H295" t="str">
        <f>アイテム項目!$F295</f>
        <v>maxell</v>
      </c>
      <c r="I295" t="str">
        <f>アイテム項目!$G295</f>
        <v>単3乾電池</v>
      </c>
      <c r="J295">
        <f>アイテム項目!$H295</f>
        <v>0</v>
      </c>
      <c r="K295">
        <f>アイテム項目!$I295</f>
        <v>0</v>
      </c>
    </row>
    <row r="296" spans="1:11">
      <c r="A296" t="str">
        <f>IFERROR(INDEX(T項目!$A:$A,MATCH(アイテムビューア!$C296,T項目!$D:$D,0)),"")</f>
        <v/>
      </c>
      <c r="B296" t="str">
        <f>IFERROR(INDEX(S項目!$B:$B,MATCH(アイテムビューア!$A296,S項目!$A:$A,0)),"")</f>
        <v/>
      </c>
      <c r="C296" t="str">
        <f>IFERROR(INDEX(C項目!$A:$A,MATCH(アイテムビューア!$E296,C項目!$D:$D,0)),"")</f>
        <v/>
      </c>
      <c r="D296" t="str">
        <f>IFERROR(INDEX(T項目!$E:$E,MATCH(アイテムビューア!$C296,T項目!$D:$D,0)),"")</f>
        <v/>
      </c>
      <c r="E296" t="str">
        <f>アイテム項目!$A296</f>
        <v>T-0204</v>
      </c>
      <c r="F296" t="str">
        <f>IFERROR(INDEX(C項目!$E:$E,MATCH(アイテムビューア!$E296,C項目!$D:$D,0)),"")</f>
        <v/>
      </c>
      <c r="G296" t="str">
        <f>アイテム項目!$E296</f>
        <v>I-00287</v>
      </c>
      <c r="H296" t="str">
        <f>アイテム項目!$F296</f>
        <v>QianLi iToor PLUS</v>
      </c>
      <c r="I296">
        <f>アイテム項目!$G296</f>
        <v>0</v>
      </c>
      <c r="J296">
        <f>アイテム項目!$H296</f>
        <v>0</v>
      </c>
      <c r="K296">
        <f>アイテム項目!$I296</f>
        <v>0</v>
      </c>
    </row>
    <row r="297" spans="1:11">
      <c r="A297" t="str">
        <f>IFERROR(INDEX(T項目!$A:$A,MATCH(アイテムビューア!$C297,T項目!$D:$D,0)),"")</f>
        <v/>
      </c>
      <c r="B297" t="str">
        <f>IFERROR(INDEX(S項目!$B:$B,MATCH(アイテムビューア!$A297,S項目!$A:$A,0)),"")</f>
        <v/>
      </c>
      <c r="C297" t="str">
        <f>IFERROR(INDEX(C項目!$A:$A,MATCH(アイテムビューア!$E297,C項目!$D:$D,0)),"")</f>
        <v/>
      </c>
      <c r="D297" t="str">
        <f>IFERROR(INDEX(T項目!$E:$E,MATCH(アイテムビューア!$C297,T項目!$D:$D,0)),"")</f>
        <v/>
      </c>
      <c r="E297" t="str">
        <f>アイテム項目!$A297</f>
        <v>T-0204</v>
      </c>
      <c r="F297" t="str">
        <f>IFERROR(INDEX(C項目!$E:$E,MATCH(アイテムビューア!$E297,C項目!$D:$D,0)),"")</f>
        <v/>
      </c>
      <c r="G297" t="str">
        <f>アイテム項目!$E297</f>
        <v>I-00288</v>
      </c>
      <c r="H297" t="str">
        <f>アイテム項目!$F297</f>
        <v>ボタン電池</v>
      </c>
      <c r="I297">
        <f>アイテム項目!$G297</f>
        <v>0</v>
      </c>
      <c r="J297">
        <f>アイテム項目!$H297</f>
        <v>0</v>
      </c>
      <c r="K297">
        <f>アイテム項目!$I297</f>
        <v>0</v>
      </c>
    </row>
    <row r="298" spans="1:11">
      <c r="A298" t="str">
        <f>IFERROR(INDEX(T項目!$A:$A,MATCH(アイテムビューア!$C298,T項目!$D:$D,0)),"")</f>
        <v/>
      </c>
      <c r="B298" t="str">
        <f>IFERROR(INDEX(S項目!$B:$B,MATCH(アイテムビューア!$A298,S項目!$A:$A,0)),"")</f>
        <v/>
      </c>
      <c r="C298" t="str">
        <f>IFERROR(INDEX(C項目!$A:$A,MATCH(アイテムビューア!$E298,C項目!$D:$D,0)),"")</f>
        <v/>
      </c>
      <c r="D298" t="str">
        <f>IFERROR(INDEX(T項目!$E:$E,MATCH(アイテムビューア!$C298,T項目!$D:$D,0)),"")</f>
        <v/>
      </c>
      <c r="E298" t="str">
        <f>アイテム項目!$A298</f>
        <v>T-0204</v>
      </c>
      <c r="F298" t="str">
        <f>IFERROR(INDEX(C項目!$E:$E,MATCH(アイテムビューア!$E298,C項目!$D:$D,0)),"")</f>
        <v/>
      </c>
      <c r="G298" t="str">
        <f>アイテム項目!$E298</f>
        <v>I-00289</v>
      </c>
      <c r="H298" t="str">
        <f>アイテム項目!$F298</f>
        <v>CPUチップ</v>
      </c>
      <c r="I298">
        <f>アイテム項目!$G298</f>
        <v>0</v>
      </c>
      <c r="J298">
        <f>アイテム項目!$H298</f>
        <v>0</v>
      </c>
      <c r="K298">
        <f>アイテム項目!$I298</f>
        <v>0</v>
      </c>
    </row>
    <row r="299" spans="1:11">
      <c r="A299" t="str">
        <f>IFERROR(INDEX(T項目!$A:$A,MATCH(アイテムビューア!$C299,T項目!$D:$D,0)),"")</f>
        <v/>
      </c>
      <c r="B299" t="str">
        <f>IFERROR(INDEX(S項目!$B:$B,MATCH(アイテムビューア!$A299,S項目!$A:$A,0)),"")</f>
        <v/>
      </c>
      <c r="C299" t="str">
        <f>IFERROR(INDEX(C項目!$A:$A,MATCH(アイテムビューア!$E299,C項目!$D:$D,0)),"")</f>
        <v/>
      </c>
      <c r="D299" t="str">
        <f>IFERROR(INDEX(T項目!$E:$E,MATCH(アイテムビューア!$C299,T項目!$D:$D,0)),"")</f>
        <v/>
      </c>
      <c r="E299" t="str">
        <f>アイテム項目!$A299</f>
        <v>T-0204</v>
      </c>
      <c r="F299" t="str">
        <f>IFERROR(INDEX(C項目!$E:$E,MATCH(アイテムビューア!$E299,C項目!$D:$D,0)),"")</f>
        <v/>
      </c>
      <c r="G299" t="str">
        <f>アイテム項目!$E299</f>
        <v>I-00290</v>
      </c>
      <c r="H299" t="str">
        <f>アイテム項目!$F299</f>
        <v>白いロープ</v>
      </c>
      <c r="I299">
        <f>アイテム項目!$G299</f>
        <v>0</v>
      </c>
      <c r="J299">
        <f>アイテム項目!$H299</f>
        <v>0</v>
      </c>
      <c r="K299">
        <f>アイテム項目!$I299</f>
        <v>0</v>
      </c>
    </row>
    <row r="300" spans="1:11">
      <c r="A300" t="str">
        <f>IFERROR(INDEX(T項目!$A:$A,MATCH(アイテムビューア!$C300,T項目!$D:$D,0)),"")</f>
        <v/>
      </c>
      <c r="B300" t="str">
        <f>IFERROR(INDEX(S項目!$B:$B,MATCH(アイテムビューア!$A300,S項目!$A:$A,0)),"")</f>
        <v/>
      </c>
      <c r="C300" t="str">
        <f>IFERROR(INDEX(C項目!$A:$A,MATCH(アイテムビューア!$E300,C項目!$D:$D,0)),"")</f>
        <v/>
      </c>
      <c r="D300" t="str">
        <f>IFERROR(INDEX(T項目!$E:$E,MATCH(アイテムビューア!$C300,T項目!$D:$D,0)),"")</f>
        <v/>
      </c>
      <c r="E300" t="str">
        <f>アイテム項目!$A300</f>
        <v>T-0204</v>
      </c>
      <c r="F300" t="str">
        <f>IFERROR(INDEX(C項目!$E:$E,MATCH(アイテムビューア!$E300,C項目!$D:$D,0)),"")</f>
        <v/>
      </c>
      <c r="G300" t="str">
        <f>アイテム項目!$E300</f>
        <v>I-00291</v>
      </c>
      <c r="H300" t="str">
        <f>アイテム項目!$F300</f>
        <v>バーコード付き袋</v>
      </c>
      <c r="I300">
        <f>アイテム項目!$G300</f>
        <v>0</v>
      </c>
      <c r="J300">
        <f>アイテム項目!$H300</f>
        <v>0</v>
      </c>
      <c r="K300">
        <f>アイテム項目!$I300</f>
        <v>0</v>
      </c>
    </row>
    <row r="301" spans="1:11">
      <c r="A301" t="str">
        <f>IFERROR(INDEX(T項目!$A:$A,MATCH(アイテムビューア!$C301,T項目!$D:$D,0)),"")</f>
        <v/>
      </c>
      <c r="B301" t="str">
        <f>IFERROR(INDEX(S項目!$B:$B,MATCH(アイテムビューア!$A301,S項目!$A:$A,0)),"")</f>
        <v/>
      </c>
      <c r="C301" t="str">
        <f>IFERROR(INDEX(C項目!$A:$A,MATCH(アイテムビューア!$E301,C項目!$D:$D,0)),"")</f>
        <v/>
      </c>
      <c r="D301" t="str">
        <f>IFERROR(INDEX(T項目!$E:$E,MATCH(アイテムビューア!$C301,T項目!$D:$D,0)),"")</f>
        <v/>
      </c>
      <c r="E301" t="str">
        <f>アイテム項目!$A301</f>
        <v>T-0204</v>
      </c>
      <c r="F301" t="str">
        <f>IFERROR(INDEX(C項目!$E:$E,MATCH(アイテムビューア!$E301,C項目!$D:$D,0)),"")</f>
        <v/>
      </c>
      <c r="G301" t="str">
        <f>アイテム項目!$E301</f>
        <v>I-00292</v>
      </c>
      <c r="H301" t="str">
        <f>アイテム項目!$F301</f>
        <v>目薬</v>
      </c>
      <c r="I301">
        <f>アイテム項目!$G301</f>
        <v>0</v>
      </c>
      <c r="J301">
        <f>アイテム項目!$H301</f>
        <v>0</v>
      </c>
      <c r="K301">
        <f>アイテム項目!$I301</f>
        <v>0</v>
      </c>
    </row>
    <row r="302" spans="1:11">
      <c r="A302" t="str">
        <f>IFERROR(INDEX(T項目!$A:$A,MATCH(アイテムビューア!$C302,T項目!$D:$D,0)),"")</f>
        <v/>
      </c>
      <c r="B302" t="str">
        <f>IFERROR(INDEX(S項目!$B:$B,MATCH(アイテムビューア!$A302,S項目!$A:$A,0)),"")</f>
        <v/>
      </c>
      <c r="C302" t="str">
        <f>IFERROR(INDEX(C項目!$A:$A,MATCH(アイテムビューア!$E302,C項目!$D:$D,0)),"")</f>
        <v/>
      </c>
      <c r="D302" t="str">
        <f>IFERROR(INDEX(T項目!$E:$E,MATCH(アイテムビューア!$C302,T項目!$D:$D,0)),"")</f>
        <v/>
      </c>
      <c r="E302" t="str">
        <f>アイテム項目!$A302</f>
        <v>T-0204</v>
      </c>
      <c r="F302" t="str">
        <f>IFERROR(INDEX(C項目!$E:$E,MATCH(アイテムビューア!$E302,C項目!$D:$D,0)),"")</f>
        <v/>
      </c>
      <c r="G302" t="str">
        <f>アイテム項目!$E302</f>
        <v>I-00293</v>
      </c>
      <c r="H302" t="str">
        <f>アイテム項目!$F302</f>
        <v>USB基板部品</v>
      </c>
      <c r="I302">
        <f>アイテム項目!$G302</f>
        <v>0</v>
      </c>
      <c r="J302">
        <f>アイテム項目!$H302</f>
        <v>0</v>
      </c>
      <c r="K302">
        <f>アイテム項目!$I302</f>
        <v>0</v>
      </c>
    </row>
    <row r="303" spans="1:11">
      <c r="A303" t="str">
        <f>IFERROR(INDEX(T項目!$A:$A,MATCH(アイテムビューア!$C303,T項目!$D:$D,0)),"")</f>
        <v/>
      </c>
      <c r="B303" t="str">
        <f>IFERROR(INDEX(S項目!$B:$B,MATCH(アイテムビューア!$A303,S項目!$A:$A,0)),"")</f>
        <v/>
      </c>
      <c r="C303" t="str">
        <f>IFERROR(INDEX(C項目!$A:$A,MATCH(アイテムビューア!$E303,C項目!$D:$D,0)),"")</f>
        <v/>
      </c>
      <c r="D303" t="str">
        <f>IFERROR(INDEX(T項目!$E:$E,MATCH(アイテムビューア!$C303,T項目!$D:$D,0)),"")</f>
        <v/>
      </c>
      <c r="E303" t="str">
        <f>アイテム項目!$A303</f>
        <v>T-0204</v>
      </c>
      <c r="F303" t="str">
        <f>IFERROR(INDEX(C項目!$E:$E,MATCH(アイテムビューア!$E303,C項目!$D:$D,0)),"")</f>
        <v/>
      </c>
      <c r="G303" t="str">
        <f>アイテム項目!$E303</f>
        <v>I-00294</v>
      </c>
      <c r="H303" t="str">
        <f>アイテム項目!$F303</f>
        <v>電子工作パーツ</v>
      </c>
      <c r="I303">
        <f>アイテム項目!$G303</f>
        <v>0</v>
      </c>
      <c r="J303">
        <f>アイテム項目!$H303</f>
        <v>0</v>
      </c>
      <c r="K303">
        <f>アイテム項目!$I303</f>
        <v>0</v>
      </c>
    </row>
    <row r="304" spans="1:11">
      <c r="A304" t="str">
        <f>IFERROR(INDEX(T項目!$A:$A,MATCH(アイテムビューア!$C304,T項目!$D:$D,0)),"")</f>
        <v/>
      </c>
      <c r="B304" t="str">
        <f>IFERROR(INDEX(S項目!$B:$B,MATCH(アイテムビューア!$A304,S項目!$A:$A,0)),"")</f>
        <v/>
      </c>
      <c r="C304" t="str">
        <f>IFERROR(INDEX(C項目!$A:$A,MATCH(アイテムビューア!$E304,C項目!$D:$D,0)),"")</f>
        <v/>
      </c>
      <c r="D304" t="str">
        <f>IFERROR(INDEX(T項目!$E:$E,MATCH(アイテムビューア!$C304,T項目!$D:$D,0)),"")</f>
        <v/>
      </c>
      <c r="E304" t="str">
        <f>アイテム項目!$A304</f>
        <v>T-0204</v>
      </c>
      <c r="F304" t="str">
        <f>IFERROR(INDEX(C項目!$E:$E,MATCH(アイテムビューア!$E304,C項目!$D:$D,0)),"")</f>
        <v/>
      </c>
      <c r="G304" t="str">
        <f>アイテム項目!$E304</f>
        <v>I-00295</v>
      </c>
      <c r="H304" t="str">
        <f>アイテム項目!$F304</f>
        <v>精密スプリング</v>
      </c>
      <c r="I304">
        <f>アイテム項目!$G304</f>
        <v>0</v>
      </c>
      <c r="J304">
        <f>アイテム項目!$H304</f>
        <v>0</v>
      </c>
      <c r="K304">
        <f>アイテム項目!$I304</f>
        <v>0</v>
      </c>
    </row>
    <row r="305" spans="1:11">
      <c r="A305" t="str">
        <f>IFERROR(INDEX(T項目!$A:$A,MATCH(アイテムビューア!$C305,T項目!$D:$D,0)),"")</f>
        <v/>
      </c>
      <c r="B305" t="str">
        <f>IFERROR(INDEX(S項目!$B:$B,MATCH(アイテムビューア!$A305,S項目!$A:$A,0)),"")</f>
        <v/>
      </c>
      <c r="C305" t="str">
        <f>IFERROR(INDEX(C項目!$A:$A,MATCH(アイテムビューア!$E305,C項目!$D:$D,0)),"")</f>
        <v/>
      </c>
      <c r="D305" t="str">
        <f>IFERROR(INDEX(T項目!$E:$E,MATCH(アイテムビューア!$C305,T項目!$D:$D,0)),"")</f>
        <v/>
      </c>
      <c r="E305" t="str">
        <f>アイテム項目!$A305</f>
        <v>T-0204</v>
      </c>
      <c r="F305" t="str">
        <f>IFERROR(INDEX(C項目!$E:$E,MATCH(アイテムビューア!$E305,C項目!$D:$D,0)),"")</f>
        <v/>
      </c>
      <c r="G305" t="str">
        <f>アイテム項目!$E305</f>
        <v>I-00296</v>
      </c>
      <c r="H305" t="str">
        <f>アイテム項目!$F305</f>
        <v>クリーニングブラシ</v>
      </c>
      <c r="I305">
        <f>アイテム項目!$G305</f>
        <v>0</v>
      </c>
      <c r="J305">
        <f>アイテム項目!$H305</f>
        <v>0</v>
      </c>
      <c r="K305">
        <f>アイテム項目!$I305</f>
        <v>0</v>
      </c>
    </row>
    <row r="306" spans="1:11">
      <c r="A306" t="str">
        <f>IFERROR(INDEX(T項目!$A:$A,MATCH(アイテムビューア!$C306,T項目!$D:$D,0)),"")</f>
        <v/>
      </c>
      <c r="B306" t="str">
        <f>IFERROR(INDEX(S項目!$B:$B,MATCH(アイテムビューア!$A306,S項目!$A:$A,0)),"")</f>
        <v/>
      </c>
      <c r="C306" t="str">
        <f>IFERROR(INDEX(C項目!$A:$A,MATCH(アイテムビューア!$E306,C項目!$D:$D,0)),"")</f>
        <v/>
      </c>
      <c r="D306" t="str">
        <f>IFERROR(INDEX(T項目!$E:$E,MATCH(アイテムビューア!$C306,T項目!$D:$D,0)),"")</f>
        <v/>
      </c>
      <c r="E306" t="str">
        <f>アイテム項目!$A306</f>
        <v>T-0204</v>
      </c>
      <c r="F306" t="str">
        <f>IFERROR(INDEX(C項目!$E:$E,MATCH(アイテムビューア!$E306,C項目!$D:$D,0)),"")</f>
        <v/>
      </c>
      <c r="G306" t="str">
        <f>アイテム項目!$E306</f>
        <v>I-00297</v>
      </c>
      <c r="H306" t="str">
        <f>アイテム項目!$F306</f>
        <v>ピンセット</v>
      </c>
      <c r="I306">
        <f>アイテム項目!$G306</f>
        <v>0</v>
      </c>
      <c r="J306">
        <f>アイテム項目!$H306</f>
        <v>0</v>
      </c>
      <c r="K306">
        <f>アイテム項目!$I306</f>
        <v>0</v>
      </c>
    </row>
    <row r="307" spans="1:11">
      <c r="A307" t="str">
        <f>IFERROR(INDEX(T項目!$A:$A,MATCH(アイテムビューア!$C307,T項目!$D:$D,0)),"")</f>
        <v/>
      </c>
      <c r="B307" t="str">
        <f>IFERROR(INDEX(S項目!$B:$B,MATCH(アイテムビューア!$A307,S項目!$A:$A,0)),"")</f>
        <v/>
      </c>
      <c r="C307" t="str">
        <f>IFERROR(INDEX(C項目!$A:$A,MATCH(アイテムビューア!$E307,C項目!$D:$D,0)),"")</f>
        <v/>
      </c>
      <c r="D307" t="str">
        <f>IFERROR(INDEX(T項目!$E:$E,MATCH(アイテムビューア!$C307,T項目!$D:$D,0)),"")</f>
        <v/>
      </c>
      <c r="E307" t="str">
        <f>アイテム項目!$A307</f>
        <v>T-0204</v>
      </c>
      <c r="F307" t="str">
        <f>IFERROR(INDEX(C項目!$E:$E,MATCH(アイテムビューア!$E307,C項目!$D:$D,0)),"")</f>
        <v/>
      </c>
      <c r="G307" t="str">
        <f>アイテム項目!$E307</f>
        <v>I-00298</v>
      </c>
      <c r="H307" t="str">
        <f>アイテム項目!$F307</f>
        <v>クリップ</v>
      </c>
      <c r="I307">
        <f>アイテム項目!$G307</f>
        <v>0</v>
      </c>
      <c r="J307">
        <f>アイテム項目!$H307</f>
        <v>0</v>
      </c>
      <c r="K307">
        <f>アイテム項目!$I307</f>
        <v>0</v>
      </c>
    </row>
    <row r="308" spans="1:11">
      <c r="A308" t="str">
        <f>IFERROR(INDEX(T項目!$A:$A,MATCH(アイテムビューア!$C308,T項目!$D:$D,0)),"")</f>
        <v/>
      </c>
      <c r="B308" t="str">
        <f>IFERROR(INDEX(S項目!$B:$B,MATCH(アイテムビューア!$A308,S項目!$A:$A,0)),"")</f>
        <v/>
      </c>
      <c r="C308" t="str">
        <f>IFERROR(INDEX(C項目!$A:$A,MATCH(アイテムビューア!$E308,C項目!$D:$D,0)),"")</f>
        <v/>
      </c>
      <c r="D308" t="str">
        <f>IFERROR(INDEX(T項目!$E:$E,MATCH(アイテムビューア!$C308,T項目!$D:$D,0)),"")</f>
        <v/>
      </c>
      <c r="E308" t="str">
        <f>アイテム項目!$A308</f>
        <v>T-0204</v>
      </c>
      <c r="F308" t="str">
        <f>IFERROR(INDEX(C項目!$E:$E,MATCH(アイテムビューア!$E308,C項目!$D:$D,0)),"")</f>
        <v/>
      </c>
      <c r="G308" t="str">
        <f>アイテム項目!$E308</f>
        <v>I-00299</v>
      </c>
      <c r="H308" t="str">
        <f>アイテム項目!$F308</f>
        <v>ライター</v>
      </c>
      <c r="I308">
        <f>アイテム項目!$G308</f>
        <v>0</v>
      </c>
      <c r="J308">
        <f>アイテム項目!$H308</f>
        <v>0</v>
      </c>
      <c r="K308">
        <f>アイテム項目!$I308</f>
        <v>0</v>
      </c>
    </row>
    <row r="309" spans="1:11">
      <c r="A309" t="str">
        <f>IFERROR(INDEX(T項目!$A:$A,MATCH(アイテムビューア!$C309,T項目!$D:$D,0)),"")</f>
        <v/>
      </c>
      <c r="B309" t="str">
        <f>IFERROR(INDEX(S項目!$B:$B,MATCH(アイテムビューア!$A309,S項目!$A:$A,0)),"")</f>
        <v/>
      </c>
      <c r="C309" t="str">
        <f>IFERROR(INDEX(C項目!$A:$A,MATCH(アイテムビューア!$E309,C項目!$D:$D,0)),"")</f>
        <v/>
      </c>
      <c r="D309" t="str">
        <f>IFERROR(INDEX(T項目!$E:$E,MATCH(アイテムビューア!$C309,T項目!$D:$D,0)),"")</f>
        <v/>
      </c>
      <c r="E309">
        <f>アイテム項目!$A309</f>
        <v>0</v>
      </c>
      <c r="F309" t="str">
        <f>IFERROR(INDEX(C項目!$E:$E,MATCH(アイテムビューア!$E309,C項目!$D:$D,0)),"")</f>
        <v/>
      </c>
      <c r="G309">
        <f>アイテム項目!$E309</f>
        <v>0</v>
      </c>
      <c r="H309">
        <f>アイテム項目!$F309</f>
        <v>0</v>
      </c>
      <c r="I309">
        <f>アイテム項目!$G309</f>
        <v>0</v>
      </c>
      <c r="J309">
        <f>アイテム項目!$H309</f>
        <v>0</v>
      </c>
      <c r="K309">
        <f>アイテム項目!$I309</f>
        <v>0</v>
      </c>
    </row>
    <row r="310" spans="1:11">
      <c r="A310" t="str">
        <f>IFERROR(INDEX(T項目!$A:$A,MATCH(アイテムビューア!$C310,T項目!$D:$D,0)),"")</f>
        <v/>
      </c>
      <c r="B310" t="str">
        <f>IFERROR(INDEX(S項目!$B:$B,MATCH(アイテムビューア!$A310,S項目!$A:$A,0)),"")</f>
        <v/>
      </c>
      <c r="C310" t="str">
        <f>IFERROR(INDEX(C項目!$A:$A,MATCH(アイテムビューア!$E310,C項目!$D:$D,0)),"")</f>
        <v/>
      </c>
      <c r="D310" t="str">
        <f>IFERROR(INDEX(T項目!$E:$E,MATCH(アイテムビューア!$C310,T項目!$D:$D,0)),"")</f>
        <v/>
      </c>
      <c r="E310" t="str">
        <f>アイテム項目!$A310</f>
        <v>T-0205</v>
      </c>
      <c r="F310" t="str">
        <f>IFERROR(INDEX(C項目!$E:$E,MATCH(アイテムビューア!$E310,C項目!$D:$D,0)),"")</f>
        <v/>
      </c>
      <c r="G310" t="str">
        <f>アイテム項目!$E310</f>
        <v>I-00300</v>
      </c>
      <c r="H310" t="str">
        <f>アイテム項目!$F310</f>
        <v>ウェットシート</v>
      </c>
      <c r="I310" t="str">
        <f>アイテム項目!$G310</f>
        <v>備品</v>
      </c>
      <c r="J310">
        <f>アイテム項目!$H310</f>
        <v>0</v>
      </c>
      <c r="K310">
        <f>アイテム項目!$I310</f>
        <v>0</v>
      </c>
    </row>
    <row r="311" spans="1:11">
      <c r="A311" t="str">
        <f>IFERROR(INDEX(T項目!$A:$A,MATCH(アイテムビューア!$C311,T項目!$D:$D,0)),"")</f>
        <v/>
      </c>
      <c r="B311" t="str">
        <f>IFERROR(INDEX(S項目!$B:$B,MATCH(アイテムビューア!$A311,S項目!$A:$A,0)),"")</f>
        <v/>
      </c>
      <c r="C311" t="str">
        <f>IFERROR(INDEX(C項目!$A:$A,MATCH(アイテムビューア!$E311,C項目!$D:$D,0)),"")</f>
        <v/>
      </c>
      <c r="D311" t="str">
        <f>IFERROR(INDEX(T項目!$E:$E,MATCH(アイテムビューア!$C311,T項目!$D:$D,0)),"")</f>
        <v/>
      </c>
      <c r="E311" t="str">
        <f>アイテム項目!$A311</f>
        <v>T-0205</v>
      </c>
      <c r="F311" t="str">
        <f>IFERROR(INDEX(C項目!$E:$E,MATCH(アイテムビューア!$E311,C項目!$D:$D,0)),"")</f>
        <v/>
      </c>
      <c r="G311" t="str">
        <f>アイテム項目!$E311</f>
        <v>I-00301</v>
      </c>
      <c r="H311" t="str">
        <f>アイテム項目!$F311</f>
        <v>ウェットシート</v>
      </c>
      <c r="I311" t="str">
        <f>アイテム項目!$G311</f>
        <v>Jet</v>
      </c>
      <c r="J311">
        <f>アイテム項目!$H311</f>
        <v>0</v>
      </c>
      <c r="K311">
        <f>アイテム項目!$I311</f>
        <v>0</v>
      </c>
    </row>
    <row r="312" spans="1:11">
      <c r="A312" t="str">
        <f>IFERROR(INDEX(T項目!$A:$A,MATCH(アイテムビューア!$C312,T項目!$D:$D,0)),"")</f>
        <v/>
      </c>
      <c r="B312" t="str">
        <f>IFERROR(INDEX(S項目!$B:$B,MATCH(アイテムビューア!$A312,S項目!$A:$A,0)),"")</f>
        <v/>
      </c>
      <c r="C312" t="str">
        <f>IFERROR(INDEX(C項目!$A:$A,MATCH(アイテムビューア!$E312,C項目!$D:$D,0)),"")</f>
        <v/>
      </c>
      <c r="D312" t="str">
        <f>IFERROR(INDEX(T項目!$E:$E,MATCH(アイテムビューア!$C312,T項目!$D:$D,0)),"")</f>
        <v/>
      </c>
      <c r="E312" t="str">
        <f>アイテム項目!$A312</f>
        <v>T-0205</v>
      </c>
      <c r="F312" t="str">
        <f>IFERROR(INDEX(C項目!$E:$E,MATCH(アイテムビューア!$E312,C項目!$D:$D,0)),"")</f>
        <v/>
      </c>
      <c r="G312" t="str">
        <f>アイテム項目!$E312</f>
        <v>I-00302</v>
      </c>
      <c r="H312" t="str">
        <f>アイテム項目!$F312</f>
        <v>ウェットシート</v>
      </c>
      <c r="I312" t="str">
        <f>アイテム項目!$G312</f>
        <v>モニター</v>
      </c>
      <c r="J312">
        <f>アイテム項目!$H312</f>
        <v>0</v>
      </c>
      <c r="K312">
        <f>アイテム項目!$I312</f>
        <v>0</v>
      </c>
    </row>
    <row r="313" spans="1:11">
      <c r="A313" t="str">
        <f>IFERROR(INDEX(T項目!$A:$A,MATCH(アイテムビューア!$C313,T項目!$D:$D,0)),"")</f>
        <v/>
      </c>
      <c r="B313" t="str">
        <f>IFERROR(INDEX(S項目!$B:$B,MATCH(アイテムビューア!$A313,S項目!$A:$A,0)),"")</f>
        <v/>
      </c>
      <c r="C313" t="str">
        <f>IFERROR(INDEX(C項目!$A:$A,MATCH(アイテムビューア!$E313,C項目!$D:$D,0)),"")</f>
        <v/>
      </c>
      <c r="D313" t="str">
        <f>IFERROR(INDEX(T項目!$E:$E,MATCH(アイテムビューア!$C313,T項目!$D:$D,0)),"")</f>
        <v/>
      </c>
      <c r="E313" t="str">
        <f>アイテム項目!$A313</f>
        <v>T-0205</v>
      </c>
      <c r="F313" t="str">
        <f>IFERROR(INDEX(C項目!$E:$E,MATCH(アイテムビューア!$E313,C項目!$D:$D,0)),"")</f>
        <v/>
      </c>
      <c r="G313" t="str">
        <f>アイテム項目!$E313</f>
        <v>I-00303</v>
      </c>
      <c r="H313" t="str">
        <f>アイテム項目!$F313</f>
        <v>ウェットシート</v>
      </c>
      <c r="I313" t="str">
        <f>アイテム項目!$G313</f>
        <v>手前</v>
      </c>
      <c r="J313">
        <f>アイテム項目!$H313</f>
        <v>0</v>
      </c>
      <c r="K313">
        <f>アイテム項目!$I313</f>
        <v>0</v>
      </c>
    </row>
    <row r="314" spans="1:11">
      <c r="A314" t="str">
        <f>IFERROR(INDEX(T項目!$A:$A,MATCH(アイテムビューア!$C314,T項目!$D:$D,0)),"")</f>
        <v/>
      </c>
      <c r="B314" t="str">
        <f>IFERROR(INDEX(S項目!$B:$B,MATCH(アイテムビューア!$A314,S項目!$A:$A,0)),"")</f>
        <v/>
      </c>
      <c r="C314" t="str">
        <f>IFERROR(INDEX(C項目!$A:$A,MATCH(アイテムビューア!$E314,C項目!$D:$D,0)),"")</f>
        <v/>
      </c>
      <c r="D314" t="str">
        <f>IFERROR(INDEX(T項目!$E:$E,MATCH(アイテムビューア!$C314,T項目!$D:$D,0)),"")</f>
        <v/>
      </c>
      <c r="E314" t="str">
        <f>アイテム項目!$A314</f>
        <v>T-0205</v>
      </c>
      <c r="F314" t="str">
        <f>IFERROR(INDEX(C項目!$E:$E,MATCH(アイテムビューア!$E314,C項目!$D:$D,0)),"")</f>
        <v/>
      </c>
      <c r="G314" t="str">
        <f>アイテム項目!$E314</f>
        <v>I-00304</v>
      </c>
      <c r="H314" t="str">
        <f>アイテム項目!$F314</f>
        <v>WATER BASED MARKER</v>
      </c>
      <c r="I314">
        <f>アイテム項目!$G314</f>
        <v>0</v>
      </c>
      <c r="J314">
        <f>アイテム項目!$H314</f>
        <v>0</v>
      </c>
      <c r="K314">
        <f>アイテム項目!$I314</f>
        <v>0</v>
      </c>
    </row>
    <row r="315" spans="1:11">
      <c r="A315" t="str">
        <f>IFERROR(INDEX(T項目!$A:$A,MATCH(アイテムビューア!$C315,T項目!$D:$D,0)),"")</f>
        <v/>
      </c>
      <c r="B315" t="str">
        <f>IFERROR(INDEX(S項目!$B:$B,MATCH(アイテムビューア!$A315,S項目!$A:$A,0)),"")</f>
        <v/>
      </c>
      <c r="C315" t="str">
        <f>IFERROR(INDEX(C項目!$A:$A,MATCH(アイテムビューア!$E315,C項目!$D:$D,0)),"")</f>
        <v/>
      </c>
      <c r="D315" t="str">
        <f>IFERROR(INDEX(T項目!$E:$E,MATCH(アイテムビューア!$C315,T項目!$D:$D,0)),"")</f>
        <v/>
      </c>
      <c r="E315" t="str">
        <f>アイテム項目!$A315</f>
        <v>T-0205</v>
      </c>
      <c r="F315" t="str">
        <f>IFERROR(INDEX(C項目!$E:$E,MATCH(アイテムビューア!$E315,C項目!$D:$D,0)),"")</f>
        <v/>
      </c>
      <c r="G315" t="str">
        <f>アイテム項目!$E315</f>
        <v>I-00305</v>
      </c>
      <c r="H315" t="str">
        <f>アイテム項目!$F315</f>
        <v>ピンク</v>
      </c>
      <c r="I315" t="str">
        <f>アイテム項目!$G315</f>
        <v>ハサミ</v>
      </c>
      <c r="J315">
        <f>アイテム項目!$H315</f>
        <v>0</v>
      </c>
      <c r="K315">
        <f>アイテム項目!$I315</f>
        <v>0</v>
      </c>
    </row>
    <row r="316" spans="1:11">
      <c r="A316" t="str">
        <f>IFERROR(INDEX(T項目!$A:$A,MATCH(アイテムビューア!$C316,T項目!$D:$D,0)),"")</f>
        <v/>
      </c>
      <c r="B316" t="str">
        <f>IFERROR(INDEX(S項目!$B:$B,MATCH(アイテムビューア!$A316,S項目!$A:$A,0)),"")</f>
        <v/>
      </c>
      <c r="C316" t="str">
        <f>IFERROR(INDEX(C項目!$A:$A,MATCH(アイテムビューア!$E316,C項目!$D:$D,0)),"")</f>
        <v/>
      </c>
      <c r="D316" t="str">
        <f>IFERROR(INDEX(T項目!$E:$E,MATCH(アイテムビューア!$C316,T項目!$D:$D,0)),"")</f>
        <v/>
      </c>
      <c r="E316" t="str">
        <f>アイテム項目!$A316</f>
        <v>T-0205</v>
      </c>
      <c r="F316" t="str">
        <f>IFERROR(INDEX(C項目!$E:$E,MATCH(アイテムビューア!$E316,C項目!$D:$D,0)),"")</f>
        <v/>
      </c>
      <c r="G316" t="str">
        <f>アイテム項目!$E316</f>
        <v>I-00306</v>
      </c>
      <c r="H316" t="str">
        <f>アイテム項目!$F316</f>
        <v>ZEBRA</v>
      </c>
      <c r="I316" t="str">
        <f>アイテム項目!$G316</f>
        <v>3色ボールペン</v>
      </c>
      <c r="J316">
        <f>アイテム項目!$H316</f>
        <v>0</v>
      </c>
      <c r="K316">
        <f>アイテム項目!$I316</f>
        <v>0</v>
      </c>
    </row>
    <row r="317" spans="1:11">
      <c r="A317" t="str">
        <f>IFERROR(INDEX(T項目!$A:$A,MATCH(アイテムビューア!$C317,T項目!$D:$D,0)),"")</f>
        <v/>
      </c>
      <c r="B317" t="str">
        <f>IFERROR(INDEX(S項目!$B:$B,MATCH(アイテムビューア!$A317,S項目!$A:$A,0)),"")</f>
        <v/>
      </c>
      <c r="C317" t="str">
        <f>IFERROR(INDEX(C項目!$A:$A,MATCH(アイテムビューア!$E317,C項目!$D:$D,0)),"")</f>
        <v/>
      </c>
      <c r="D317" t="str">
        <f>IFERROR(INDEX(T項目!$E:$E,MATCH(アイテムビューア!$C317,T項目!$D:$D,0)),"")</f>
        <v/>
      </c>
      <c r="E317" t="str">
        <f>アイテム項目!$A317</f>
        <v>T-0205</v>
      </c>
      <c r="F317" t="str">
        <f>IFERROR(INDEX(C項目!$E:$E,MATCH(アイテムビューア!$E317,C項目!$D:$D,0)),"")</f>
        <v/>
      </c>
      <c r="G317" t="str">
        <f>アイテム項目!$E317</f>
        <v>I-00307</v>
      </c>
      <c r="H317" t="str">
        <f>アイテム項目!$F317</f>
        <v>ENERGEL ア souvenir</v>
      </c>
      <c r="I317">
        <f>アイテム項目!$G317</f>
        <v>0</v>
      </c>
      <c r="J317">
        <f>アイテム項目!$H317</f>
        <v>0</v>
      </c>
      <c r="K317">
        <f>アイテム項目!$I317</f>
        <v>0</v>
      </c>
    </row>
    <row r="318" spans="1:11">
      <c r="A318" t="str">
        <f>IFERROR(INDEX(T項目!$A:$A,MATCH(アイテムビューア!$C318,T項目!$D:$D,0)),"")</f>
        <v/>
      </c>
      <c r="B318" t="str">
        <f>IFERROR(INDEX(S項目!$B:$B,MATCH(アイテムビューア!$A318,S項目!$A:$A,0)),"")</f>
        <v/>
      </c>
      <c r="C318" t="str">
        <f>IFERROR(INDEX(C項目!$A:$A,MATCH(アイテムビューア!$E318,C項目!$D:$D,0)),"")</f>
        <v/>
      </c>
      <c r="D318" t="str">
        <f>IFERROR(INDEX(T項目!$E:$E,MATCH(アイテムビューア!$C318,T項目!$D:$D,0)),"")</f>
        <v/>
      </c>
      <c r="E318" t="str">
        <f>アイテム項目!$A318</f>
        <v>T-0205</v>
      </c>
      <c r="F318" t="str">
        <f>IFERROR(INDEX(C項目!$E:$E,MATCH(アイテムビューア!$E318,C項目!$D:$D,0)),"")</f>
        <v/>
      </c>
      <c r="G318" t="str">
        <f>アイテム項目!$E318</f>
        <v>I-00308</v>
      </c>
      <c r="H318" t="str">
        <f>アイテム項目!$F318</f>
        <v>PILOT</v>
      </c>
      <c r="I318" t="str">
        <f>アイテム項目!$G318</f>
        <v>消しゴム</v>
      </c>
      <c r="J318">
        <f>アイテム項目!$H318</f>
        <v>0</v>
      </c>
      <c r="K318">
        <f>アイテム項目!$I318</f>
        <v>0</v>
      </c>
    </row>
    <row r="319" spans="1:11">
      <c r="A319" t="str">
        <f>IFERROR(INDEX(T項目!$A:$A,MATCH(アイテムビューア!$C319,T項目!$D:$D,0)),"")</f>
        <v/>
      </c>
      <c r="B319" t="str">
        <f>IFERROR(INDEX(S項目!$B:$B,MATCH(アイテムビューア!$A319,S項目!$A:$A,0)),"")</f>
        <v/>
      </c>
      <c r="C319" t="str">
        <f>IFERROR(INDEX(C項目!$A:$A,MATCH(アイテムビューア!$E319,C項目!$D:$D,0)),"")</f>
        <v/>
      </c>
      <c r="D319" t="str">
        <f>IFERROR(INDEX(T項目!$E:$E,MATCH(アイテムビューア!$C319,T項目!$D:$D,0)),"")</f>
        <v/>
      </c>
      <c r="E319" t="str">
        <f>アイテム項目!$A319</f>
        <v>T-0205</v>
      </c>
      <c r="F319" t="str">
        <f>IFERROR(INDEX(C項目!$E:$E,MATCH(アイテムビューア!$E319,C項目!$D:$D,0)),"")</f>
        <v/>
      </c>
      <c r="G319" t="str">
        <f>アイテム項目!$E319</f>
        <v>I-00309</v>
      </c>
      <c r="H319" t="str">
        <f>アイテム項目!$F319</f>
        <v>青</v>
      </c>
      <c r="I319" t="str">
        <f>アイテム項目!$G319</f>
        <v>ボールペン</v>
      </c>
      <c r="J319">
        <f>アイテム項目!$H319</f>
        <v>0</v>
      </c>
      <c r="K319">
        <f>アイテム項目!$I319</f>
        <v>0</v>
      </c>
    </row>
    <row r="320" spans="1:11">
      <c r="A320" t="str">
        <f>IFERROR(INDEX(T項目!$A:$A,MATCH(アイテムビューア!$C320,T項目!$D:$D,0)),"")</f>
        <v/>
      </c>
      <c r="B320" t="str">
        <f>IFERROR(INDEX(S項目!$B:$B,MATCH(アイテムビューア!$A320,S項目!$A:$A,0)),"")</f>
        <v/>
      </c>
      <c r="C320" t="str">
        <f>IFERROR(INDEX(C項目!$A:$A,MATCH(アイテムビューア!$E320,C項目!$D:$D,0)),"")</f>
        <v/>
      </c>
      <c r="D320" t="str">
        <f>IFERROR(INDEX(T項目!$E:$E,MATCH(アイテムビューア!$C320,T項目!$D:$D,0)),"")</f>
        <v/>
      </c>
      <c r="E320" t="str">
        <f>アイテム項目!$A320</f>
        <v>T-0205</v>
      </c>
      <c r="F320" t="str">
        <f>IFERROR(INDEX(C項目!$E:$E,MATCH(アイテムビューア!$E320,C項目!$D:$D,0)),"")</f>
        <v/>
      </c>
      <c r="G320" t="str">
        <f>アイテム項目!$E320</f>
        <v>I-00310</v>
      </c>
      <c r="H320" t="str">
        <f>アイテム項目!$F320</f>
        <v>白ボールペン</v>
      </c>
      <c r="I320" t="str">
        <f>アイテム項目!$G320</f>
        <v>ボールペン</v>
      </c>
      <c r="J320">
        <f>アイテム項目!$H320</f>
        <v>0</v>
      </c>
      <c r="K320">
        <f>アイテム項目!$I320</f>
        <v>0</v>
      </c>
    </row>
    <row r="321" spans="1:11">
      <c r="A321" t="str">
        <f>IFERROR(INDEX(T項目!$A:$A,MATCH(アイテムビューア!$C321,T項目!$D:$D,0)),"")</f>
        <v/>
      </c>
      <c r="B321" t="str">
        <f>IFERROR(INDEX(S項目!$B:$B,MATCH(アイテムビューア!$A321,S項目!$A:$A,0)),"")</f>
        <v/>
      </c>
      <c r="C321" t="str">
        <f>IFERROR(INDEX(C項目!$A:$A,MATCH(アイテムビューア!$E321,C項目!$D:$D,0)),"")</f>
        <v/>
      </c>
      <c r="D321" t="str">
        <f>IFERROR(INDEX(T項目!$E:$E,MATCH(アイテムビューア!$C321,T項目!$D:$D,0)),"")</f>
        <v/>
      </c>
      <c r="E321" t="str">
        <f>アイテム項目!$A321</f>
        <v>T-0205</v>
      </c>
      <c r="F321" t="str">
        <f>IFERROR(INDEX(C項目!$E:$E,MATCH(アイテムビューア!$E321,C項目!$D:$D,0)),"")</f>
        <v/>
      </c>
      <c r="G321" t="str">
        <f>アイテム項目!$E321</f>
        <v>I-00311</v>
      </c>
      <c r="H321" t="str">
        <f>アイテム項目!$F321</f>
        <v>黄色</v>
      </c>
      <c r="I321" t="str">
        <f>アイテム項目!$G321</f>
        <v>マーカーペン</v>
      </c>
      <c r="J321">
        <f>アイテム項目!$H321</f>
        <v>0</v>
      </c>
      <c r="K321">
        <f>アイテム項目!$I321</f>
        <v>0</v>
      </c>
    </row>
    <row r="322" spans="1:11">
      <c r="A322" t="str">
        <f>IFERROR(INDEX(T項目!$A:$A,MATCH(アイテムビューア!$C322,T項目!$D:$D,0)),"")</f>
        <v/>
      </c>
      <c r="B322" t="str">
        <f>IFERROR(INDEX(S項目!$B:$B,MATCH(アイテムビューア!$A322,S項目!$A:$A,0)),"")</f>
        <v/>
      </c>
      <c r="C322" t="str">
        <f>IFERROR(INDEX(C項目!$A:$A,MATCH(アイテムビューア!$E322,C項目!$D:$D,0)),"")</f>
        <v/>
      </c>
      <c r="D322" t="str">
        <f>IFERROR(INDEX(T項目!$E:$E,MATCH(アイテムビューア!$C322,T項目!$D:$D,0)),"")</f>
        <v/>
      </c>
      <c r="E322" t="str">
        <f>アイテム項目!$A322</f>
        <v>T-0205</v>
      </c>
      <c r="F322" t="str">
        <f>IFERROR(INDEX(C項目!$E:$E,MATCH(アイテムビューア!$E322,C項目!$D:$D,0)),"")</f>
        <v/>
      </c>
      <c r="G322" t="str">
        <f>アイテム項目!$E322</f>
        <v>I-00312</v>
      </c>
      <c r="H322" t="str">
        <f>アイテム項目!$F322</f>
        <v>赤</v>
      </c>
      <c r="I322" t="str">
        <f>アイテム項目!$G322</f>
        <v>マーカーペン</v>
      </c>
      <c r="J322">
        <f>アイテム項目!$H322</f>
        <v>0</v>
      </c>
      <c r="K322">
        <f>アイテム項目!$I322</f>
        <v>0</v>
      </c>
    </row>
    <row r="323" spans="1:11">
      <c r="A323" t="str">
        <f>IFERROR(INDEX(T項目!$A:$A,MATCH(アイテムビューア!$C323,T項目!$D:$D,0)),"")</f>
        <v/>
      </c>
      <c r="B323" t="str">
        <f>IFERROR(INDEX(S項目!$B:$B,MATCH(アイテムビューア!$A323,S項目!$A:$A,0)),"")</f>
        <v/>
      </c>
      <c r="C323" t="str">
        <f>IFERROR(INDEX(C項目!$A:$A,MATCH(アイテムビューア!$E323,C項目!$D:$D,0)),"")</f>
        <v/>
      </c>
      <c r="D323" t="str">
        <f>IFERROR(INDEX(T項目!$E:$E,MATCH(アイテムビューア!$C323,T項目!$D:$D,0)),"")</f>
        <v/>
      </c>
      <c r="E323" t="str">
        <f>アイテム項目!$A323</f>
        <v>T-0205</v>
      </c>
      <c r="F323" t="str">
        <f>IFERROR(INDEX(C項目!$E:$E,MATCH(アイテムビューア!$E323,C項目!$D:$D,0)),"")</f>
        <v/>
      </c>
      <c r="G323" t="str">
        <f>アイテム項目!$E323</f>
        <v>I-00313</v>
      </c>
      <c r="H323" t="str">
        <f>アイテム項目!$F323</f>
        <v>黒シャープペン</v>
      </c>
      <c r="I323" t="str">
        <f>アイテム項目!$G323</f>
        <v>シャープペン</v>
      </c>
      <c r="J323">
        <f>アイテム項目!$H323</f>
        <v>0</v>
      </c>
      <c r="K323">
        <f>アイテム項目!$I323</f>
        <v>0</v>
      </c>
    </row>
    <row r="324" spans="1:11">
      <c r="A324" t="str">
        <f>IFERROR(INDEX(T項目!$A:$A,MATCH(アイテムビューア!$C324,T項目!$D:$D,0)),"")</f>
        <v/>
      </c>
      <c r="B324" t="str">
        <f>IFERROR(INDEX(S項目!$B:$B,MATCH(アイテムビューア!$A324,S項目!$A:$A,0)),"")</f>
        <v/>
      </c>
      <c r="C324" t="str">
        <f>IFERROR(INDEX(C項目!$A:$A,MATCH(アイテムビューア!$E324,C項目!$D:$D,0)),"")</f>
        <v/>
      </c>
      <c r="D324" t="str">
        <f>IFERROR(INDEX(T項目!$E:$E,MATCH(アイテムビューア!$C324,T項目!$D:$D,0)),"")</f>
        <v/>
      </c>
      <c r="E324" t="str">
        <f>アイテム項目!$A324</f>
        <v>T-0205</v>
      </c>
      <c r="F324" t="str">
        <f>IFERROR(INDEX(C項目!$E:$E,MATCH(アイテムビューア!$E324,C項目!$D:$D,0)),"")</f>
        <v/>
      </c>
      <c r="G324" t="str">
        <f>アイテム項目!$E324</f>
        <v>I-00314</v>
      </c>
      <c r="H324" t="str">
        <f>アイテム項目!$F324</f>
        <v>ビニール袋入りアイテム</v>
      </c>
      <c r="I324">
        <f>アイテム項目!$G324</f>
        <v>0</v>
      </c>
      <c r="J324">
        <f>アイテム項目!$H324</f>
        <v>0</v>
      </c>
      <c r="K324">
        <f>アイテム項目!$I324</f>
        <v>0</v>
      </c>
    </row>
    <row r="325" spans="1:11">
      <c r="A325" t="str">
        <f>IFERROR(INDEX(T項目!$A:$A,MATCH(アイテムビューア!$C325,T項目!$D:$D,0)),"")</f>
        <v/>
      </c>
      <c r="B325" t="str">
        <f>IFERROR(INDEX(S項目!$B:$B,MATCH(アイテムビューア!$A325,S項目!$A:$A,0)),"")</f>
        <v/>
      </c>
      <c r="C325" t="str">
        <f>IFERROR(INDEX(C項目!$A:$A,MATCH(アイテムビューア!$E325,C項目!$D:$D,0)),"")</f>
        <v/>
      </c>
      <c r="D325" t="str">
        <f>IFERROR(INDEX(T項目!$E:$E,MATCH(アイテムビューア!$C325,T項目!$D:$D,0)),"")</f>
        <v/>
      </c>
      <c r="E325" t="str">
        <f>アイテム項目!$A325</f>
        <v>T-0205</v>
      </c>
      <c r="F325" t="str">
        <f>IFERROR(INDEX(C項目!$E:$E,MATCH(アイテムビューア!$E325,C項目!$D:$D,0)),"")</f>
        <v/>
      </c>
      <c r="G325" t="str">
        <f>アイテム項目!$E325</f>
        <v>I-00315</v>
      </c>
      <c r="H325" t="str">
        <f>アイテム項目!$F325</f>
        <v>カラフル</v>
      </c>
      <c r="I325" t="str">
        <f>アイテム項目!$G325</f>
        <v>インデックス</v>
      </c>
      <c r="J325">
        <f>アイテム項目!$H325</f>
        <v>0</v>
      </c>
      <c r="K325">
        <f>アイテム項目!$I325</f>
        <v>0</v>
      </c>
    </row>
    <row r="326" spans="1:11">
      <c r="A326" t="str">
        <f>IFERROR(INDEX(T項目!$A:$A,MATCH(アイテムビューア!$C326,T項目!$D:$D,0)),"")</f>
        <v/>
      </c>
      <c r="B326" t="str">
        <f>IFERROR(INDEX(S項目!$B:$B,MATCH(アイテムビューア!$A326,S項目!$A:$A,0)),"")</f>
        <v/>
      </c>
      <c r="C326" t="str">
        <f>IFERROR(INDEX(C項目!$A:$A,MATCH(アイテムビューア!$E326,C項目!$D:$D,0)),"")</f>
        <v/>
      </c>
      <c r="D326" t="str">
        <f>IFERROR(INDEX(T項目!$E:$E,MATCH(アイテムビューア!$C326,T項目!$D:$D,0)),"")</f>
        <v/>
      </c>
      <c r="E326">
        <f>アイテム項目!$A326</f>
        <v>0</v>
      </c>
      <c r="F326" t="str">
        <f>IFERROR(INDEX(C項目!$E:$E,MATCH(アイテムビューア!$E326,C項目!$D:$D,0)),"")</f>
        <v/>
      </c>
      <c r="G326">
        <f>アイテム項目!$E326</f>
        <v>0</v>
      </c>
      <c r="H326">
        <f>アイテム項目!$F326</f>
        <v>0</v>
      </c>
      <c r="I326">
        <f>アイテム項目!$G326</f>
        <v>0</v>
      </c>
      <c r="J326">
        <f>アイテム項目!$H326</f>
        <v>0</v>
      </c>
      <c r="K326">
        <f>アイテム項目!$I326</f>
        <v>0</v>
      </c>
    </row>
    <row r="327" spans="1:11">
      <c r="A327" t="str">
        <f>IFERROR(INDEX(T項目!$A:$A,MATCH(アイテムビューア!$C327,T項目!$D:$D,0)),"")</f>
        <v/>
      </c>
      <c r="B327" t="str">
        <f>IFERROR(INDEX(S項目!$B:$B,MATCH(アイテムビューア!$A327,S項目!$A:$A,0)),"")</f>
        <v/>
      </c>
      <c r="C327" t="str">
        <f>IFERROR(INDEX(C項目!$A:$A,MATCH(アイテムビューア!$E327,C項目!$D:$D,0)),"")</f>
        <v/>
      </c>
      <c r="D327" t="str">
        <f>IFERROR(INDEX(T項目!$E:$E,MATCH(アイテムビューア!$C327,T項目!$D:$D,0)),"")</f>
        <v/>
      </c>
      <c r="E327" t="str">
        <f>アイテム項目!$A327</f>
        <v>T-0801</v>
      </c>
      <c r="F327" t="str">
        <f>IFERROR(INDEX(C項目!$E:$E,MATCH(アイテムビューア!$E327,C項目!$D:$D,0)),"")</f>
        <v/>
      </c>
      <c r="G327" t="str">
        <f>アイテム項目!$E327</f>
        <v>I-00316</v>
      </c>
      <c r="H327" t="str">
        <f>アイテム項目!$F327</f>
        <v>外付けHDDケース ゴールド</v>
      </c>
      <c r="I327">
        <f>アイテム項目!$G327</f>
        <v>0</v>
      </c>
      <c r="J327">
        <f>アイテム項目!$H327</f>
        <v>0</v>
      </c>
      <c r="K327">
        <f>アイテム項目!$I327</f>
        <v>0</v>
      </c>
    </row>
    <row r="328" spans="1:11">
      <c r="A328" t="str">
        <f>IFERROR(INDEX(T項目!$A:$A,MATCH(アイテムビューア!$C328,T項目!$D:$D,0)),"")</f>
        <v/>
      </c>
      <c r="B328" t="str">
        <f>IFERROR(INDEX(S項目!$B:$B,MATCH(アイテムビューア!$A328,S項目!$A:$A,0)),"")</f>
        <v/>
      </c>
      <c r="C328" t="str">
        <f>IFERROR(INDEX(C項目!$A:$A,MATCH(アイテムビューア!$E328,C項目!$D:$D,0)),"")</f>
        <v/>
      </c>
      <c r="D328" t="str">
        <f>IFERROR(INDEX(T項目!$E:$E,MATCH(アイテムビューア!$C328,T項目!$D:$D,0)),"")</f>
        <v/>
      </c>
      <c r="E328" t="str">
        <f>アイテム項目!$A328</f>
        <v>T-0801</v>
      </c>
      <c r="F328" t="str">
        <f>IFERROR(INDEX(C項目!$E:$E,MATCH(アイテムビューア!$E328,C項目!$D:$D,0)),"")</f>
        <v/>
      </c>
      <c r="G328" t="str">
        <f>アイテム項目!$E328</f>
        <v>I-00317</v>
      </c>
      <c r="H328" t="str">
        <f>アイテム項目!$F328</f>
        <v>玄人志向 HDDスタンド 黒</v>
      </c>
      <c r="I328">
        <f>アイテム項目!$G328</f>
        <v>0</v>
      </c>
      <c r="J328">
        <f>アイテム項目!$H328</f>
        <v>0</v>
      </c>
      <c r="K328">
        <f>アイテム項目!$I328</f>
        <v>0</v>
      </c>
    </row>
    <row r="329" spans="1:11">
      <c r="A329" t="str">
        <f>IFERROR(INDEX(T項目!$A:$A,MATCH(アイテムビューア!$C329,T項目!$D:$D,0)),"")</f>
        <v/>
      </c>
      <c r="B329" t="str">
        <f>IFERROR(INDEX(S項目!$B:$B,MATCH(アイテムビューア!$A329,S項目!$A:$A,0)),"")</f>
        <v/>
      </c>
      <c r="C329" t="str">
        <f>IFERROR(INDEX(C項目!$A:$A,MATCH(アイテムビューア!$E329,C項目!$D:$D,0)),"")</f>
        <v/>
      </c>
      <c r="D329" t="str">
        <f>IFERROR(INDEX(T項目!$E:$E,MATCH(アイテムビューア!$C329,T項目!$D:$D,0)),"")</f>
        <v/>
      </c>
      <c r="E329" t="str">
        <f>アイテム項目!$A329</f>
        <v>T-0801</v>
      </c>
      <c r="F329" t="str">
        <f>IFERROR(INDEX(C項目!$E:$E,MATCH(アイテムビューア!$E329,C項目!$D:$D,0)),"")</f>
        <v/>
      </c>
      <c r="G329" t="str">
        <f>アイテム項目!$E329</f>
        <v>I-00318</v>
      </c>
      <c r="H329" t="str">
        <f>アイテム項目!$F329</f>
        <v>Groovy HDDスタンド 赤</v>
      </c>
      <c r="I329">
        <f>アイテム項目!$G329</f>
        <v>0</v>
      </c>
      <c r="J329">
        <f>アイテム項目!$H329</f>
        <v>0</v>
      </c>
      <c r="K329">
        <f>アイテム項目!$I329</f>
        <v>0</v>
      </c>
    </row>
    <row r="330" spans="1:11">
      <c r="A330" t="str">
        <f>IFERROR(INDEX(T項目!$A:$A,MATCH(アイテムビューア!$C330,T項目!$D:$D,0)),"")</f>
        <v/>
      </c>
      <c r="B330" t="str">
        <f>IFERROR(INDEX(S項目!$B:$B,MATCH(アイテムビューア!$A330,S項目!$A:$A,0)),"")</f>
        <v/>
      </c>
      <c r="C330" t="str">
        <f>IFERROR(INDEX(C項目!$A:$A,MATCH(アイテムビューア!$E330,C項目!$D:$D,0)),"")</f>
        <v/>
      </c>
      <c r="D330" t="str">
        <f>IFERROR(INDEX(T項目!$E:$E,MATCH(アイテムビューア!$C330,T項目!$D:$D,0)),"")</f>
        <v/>
      </c>
      <c r="E330" t="str">
        <f>アイテム項目!$A330</f>
        <v>T-0801</v>
      </c>
      <c r="F330" t="str">
        <f>IFERROR(INDEX(C項目!$E:$E,MATCH(アイテムビューア!$E330,C項目!$D:$D,0)),"")</f>
        <v/>
      </c>
      <c r="G330" t="str">
        <f>アイテム項目!$E330</f>
        <v>I-00319</v>
      </c>
      <c r="H330" t="str">
        <f>アイテム項目!$F330</f>
        <v>黄黒 ドライバー</v>
      </c>
      <c r="I330">
        <f>アイテム項目!$G330</f>
        <v>0</v>
      </c>
      <c r="J330">
        <f>アイテム項目!$H330</f>
        <v>0</v>
      </c>
      <c r="K330">
        <f>アイテム項目!$I330</f>
        <v>0</v>
      </c>
    </row>
    <row r="331" spans="1:11">
      <c r="A331" t="str">
        <f>IFERROR(INDEX(T項目!$A:$A,MATCH(アイテムビューア!$C331,T項目!$D:$D,0)),"")</f>
        <v/>
      </c>
      <c r="B331" t="str">
        <f>IFERROR(INDEX(S項目!$B:$B,MATCH(アイテムビューア!$A331,S項目!$A:$A,0)),"")</f>
        <v/>
      </c>
      <c r="C331" t="str">
        <f>IFERROR(INDEX(C項目!$A:$A,MATCH(アイテムビューア!$E331,C項目!$D:$D,0)),"")</f>
        <v/>
      </c>
      <c r="D331" t="str">
        <f>IFERROR(INDEX(T項目!$E:$E,MATCH(アイテムビューア!$C331,T項目!$D:$D,0)),"")</f>
        <v/>
      </c>
      <c r="E331" t="str">
        <f>アイテム項目!$A331</f>
        <v>T-0801</v>
      </c>
      <c r="F331" t="str">
        <f>IFERROR(INDEX(C項目!$E:$E,MATCH(アイテムビューア!$E331,C項目!$D:$D,0)),"")</f>
        <v/>
      </c>
      <c r="G331" t="str">
        <f>アイテム項目!$E331</f>
        <v>I-00320</v>
      </c>
      <c r="H331" t="str">
        <f>アイテム項目!$F331</f>
        <v>黄緑 ドライバー</v>
      </c>
      <c r="I331">
        <f>アイテム項目!$G331</f>
        <v>0</v>
      </c>
      <c r="J331">
        <f>アイテム項目!$H331</f>
        <v>0</v>
      </c>
      <c r="K331">
        <f>アイテム項目!$I331</f>
        <v>0</v>
      </c>
    </row>
    <row r="332" spans="1:11">
      <c r="A332" t="str">
        <f>IFERROR(INDEX(T項目!$A:$A,MATCH(アイテムビューア!$C332,T項目!$D:$D,0)),"")</f>
        <v/>
      </c>
      <c r="B332" t="str">
        <f>IFERROR(INDEX(S項目!$B:$B,MATCH(アイテムビューア!$A332,S項目!$A:$A,0)),"")</f>
        <v/>
      </c>
      <c r="C332" t="str">
        <f>IFERROR(INDEX(C項目!$A:$A,MATCH(アイテムビューア!$E332,C項目!$D:$D,0)),"")</f>
        <v/>
      </c>
      <c r="D332" t="str">
        <f>IFERROR(INDEX(T項目!$E:$E,MATCH(アイテムビューア!$C332,T項目!$D:$D,0)),"")</f>
        <v/>
      </c>
      <c r="E332" t="str">
        <f>アイテム項目!$A332</f>
        <v>T-0801</v>
      </c>
      <c r="F332" t="str">
        <f>IFERROR(INDEX(C項目!$E:$E,MATCH(アイテムビューア!$E332,C項目!$D:$D,0)),"")</f>
        <v/>
      </c>
      <c r="G332" t="str">
        <f>アイテム項目!$E332</f>
        <v>I-00321</v>
      </c>
      <c r="H332" t="str">
        <f>アイテム項目!$F332</f>
        <v>赤黒 ドライバー</v>
      </c>
      <c r="I332">
        <f>アイテム項目!$G332</f>
        <v>0</v>
      </c>
      <c r="J332">
        <f>アイテム項目!$H332</f>
        <v>0</v>
      </c>
      <c r="K332">
        <f>アイテム項目!$I332</f>
        <v>0</v>
      </c>
    </row>
    <row r="333" spans="1:11">
      <c r="A333" t="str">
        <f>IFERROR(INDEX(T項目!$A:$A,MATCH(アイテムビューア!$C333,T項目!$D:$D,0)),"")</f>
        <v/>
      </c>
      <c r="B333" t="str">
        <f>IFERROR(INDEX(S項目!$B:$B,MATCH(アイテムビューア!$A333,S項目!$A:$A,0)),"")</f>
        <v/>
      </c>
      <c r="C333" t="str">
        <f>IFERROR(INDEX(C項目!$A:$A,MATCH(アイテムビューア!$E333,C項目!$D:$D,0)),"")</f>
        <v/>
      </c>
      <c r="D333" t="str">
        <f>IFERROR(INDEX(T項目!$E:$E,MATCH(アイテムビューア!$C333,T項目!$D:$D,0)),"")</f>
        <v/>
      </c>
      <c r="E333" t="str">
        <f>アイテム項目!$A333</f>
        <v>T-0801</v>
      </c>
      <c r="F333" t="str">
        <f>IFERROR(INDEX(C項目!$E:$E,MATCH(アイテムビューア!$E333,C項目!$D:$D,0)),"")</f>
        <v/>
      </c>
      <c r="G333" t="str">
        <f>アイテム項目!$E333</f>
        <v>I-00322</v>
      </c>
      <c r="H333" t="str">
        <f>アイテム項目!$F333</f>
        <v>精密ピンセット各種</v>
      </c>
      <c r="I333">
        <f>アイテム項目!$G333</f>
        <v>0</v>
      </c>
      <c r="J333">
        <f>アイテム項目!$H333</f>
        <v>0</v>
      </c>
      <c r="K333">
        <f>アイテム項目!$I333</f>
        <v>0</v>
      </c>
    </row>
    <row r="334" spans="1:11">
      <c r="A334" t="str">
        <f>IFERROR(INDEX(T項目!$A:$A,MATCH(アイテムビューア!$C334,T項目!$D:$D,0)),"")</f>
        <v/>
      </c>
      <c r="B334" t="str">
        <f>IFERROR(INDEX(S項目!$B:$B,MATCH(アイテムビューア!$A334,S項目!$A:$A,0)),"")</f>
        <v/>
      </c>
      <c r="C334" t="str">
        <f>IFERROR(INDEX(C項目!$A:$A,MATCH(アイテムビューア!$E334,C項目!$D:$D,0)),"")</f>
        <v/>
      </c>
      <c r="D334" t="str">
        <f>IFERROR(INDEX(T項目!$E:$E,MATCH(アイテムビューア!$C334,T項目!$D:$D,0)),"")</f>
        <v/>
      </c>
      <c r="E334" t="str">
        <f>アイテム項目!$A334</f>
        <v>T-0801</v>
      </c>
      <c r="F334" t="str">
        <f>IFERROR(INDEX(C項目!$E:$E,MATCH(アイテムビューア!$E334,C項目!$D:$D,0)),"")</f>
        <v/>
      </c>
      <c r="G334" t="str">
        <f>アイテム項目!$E334</f>
        <v>I-00323</v>
      </c>
      <c r="H334" t="str">
        <f>アイテム項目!$F334</f>
        <v>黒 ハサミ</v>
      </c>
      <c r="I334">
        <f>アイテム項目!$G334</f>
        <v>0</v>
      </c>
      <c r="J334">
        <f>アイテム項目!$H334</f>
        <v>0</v>
      </c>
      <c r="K334">
        <f>アイテム項目!$I334</f>
        <v>0</v>
      </c>
    </row>
    <row r="335" spans="1:11">
      <c r="A335" t="str">
        <f>IFERROR(INDEX(T項目!$A:$A,MATCH(アイテムビューア!$C335,T項目!$D:$D,0)),"")</f>
        <v/>
      </c>
      <c r="B335" t="str">
        <f>IFERROR(INDEX(S項目!$B:$B,MATCH(アイテムビューア!$A335,S項目!$A:$A,0)),"")</f>
        <v/>
      </c>
      <c r="C335" t="str">
        <f>IFERROR(INDEX(C項目!$A:$A,MATCH(アイテムビューア!$E335,C項目!$D:$D,0)),"")</f>
        <v/>
      </c>
      <c r="D335" t="str">
        <f>IFERROR(INDEX(T項目!$E:$E,MATCH(アイテムビューア!$C335,T項目!$D:$D,0)),"")</f>
        <v/>
      </c>
      <c r="E335" t="str">
        <f>アイテム項目!$A335</f>
        <v>T-0801</v>
      </c>
      <c r="F335" t="str">
        <f>IFERROR(INDEX(C項目!$E:$E,MATCH(アイテムビューア!$E335,C項目!$D:$D,0)),"")</f>
        <v/>
      </c>
      <c r="G335" t="str">
        <f>アイテム項目!$E335</f>
        <v>I-00324</v>
      </c>
      <c r="H335" t="str">
        <f>アイテム項目!$F335</f>
        <v>赤 ハサミ</v>
      </c>
      <c r="I335">
        <f>アイテム項目!$G335</f>
        <v>0</v>
      </c>
      <c r="J335">
        <f>アイテム項目!$H335</f>
        <v>0</v>
      </c>
      <c r="K335">
        <f>アイテム項目!$I335</f>
        <v>0</v>
      </c>
    </row>
    <row r="336" spans="1:11">
      <c r="A336" t="str">
        <f>IFERROR(INDEX(T項目!$A:$A,MATCH(アイテムビューア!$C336,T項目!$D:$D,0)),"")</f>
        <v/>
      </c>
      <c r="B336" t="str">
        <f>IFERROR(INDEX(S項目!$B:$B,MATCH(アイテムビューア!$A336,S項目!$A:$A,0)),"")</f>
        <v/>
      </c>
      <c r="C336" t="str">
        <f>IFERROR(INDEX(C項目!$A:$A,MATCH(アイテムビューア!$E336,C項目!$D:$D,0)),"")</f>
        <v/>
      </c>
      <c r="D336" t="str">
        <f>IFERROR(INDEX(T項目!$E:$E,MATCH(アイテムビューア!$C336,T項目!$D:$D,0)),"")</f>
        <v/>
      </c>
      <c r="E336" t="str">
        <f>アイテム項目!$A336</f>
        <v>T-0801</v>
      </c>
      <c r="F336" t="str">
        <f>IFERROR(INDEX(C項目!$E:$E,MATCH(アイテムビューア!$E336,C項目!$D:$D,0)),"")</f>
        <v/>
      </c>
      <c r="G336" t="str">
        <f>アイテム項目!$E336</f>
        <v>I-00325</v>
      </c>
      <c r="H336" t="str">
        <f>アイテム項目!$F336</f>
        <v>白 プラスチックバスケット</v>
      </c>
      <c r="I336">
        <f>アイテム項目!$G336</f>
        <v>0</v>
      </c>
      <c r="J336">
        <f>アイテム項目!$H336</f>
        <v>0</v>
      </c>
      <c r="K336">
        <f>アイテム項目!$I336</f>
        <v>0</v>
      </c>
    </row>
    <row r="337" spans="1:11">
      <c r="A337" t="str">
        <f>IFERROR(INDEX(T項目!$A:$A,MATCH(アイテムビューア!$C337,T項目!$D:$D,0)),"")</f>
        <v/>
      </c>
      <c r="B337" t="str">
        <f>IFERROR(INDEX(S項目!$B:$B,MATCH(アイテムビューア!$A337,S項目!$A:$A,0)),"")</f>
        <v/>
      </c>
      <c r="C337" t="str">
        <f>IFERROR(INDEX(C項目!$A:$A,MATCH(アイテムビューア!$E337,C項目!$D:$D,0)),"")</f>
        <v/>
      </c>
      <c r="D337" t="str">
        <f>IFERROR(INDEX(T項目!$E:$E,MATCH(アイテムビューア!$C337,T項目!$D:$D,0)),"")</f>
        <v/>
      </c>
      <c r="E337" t="str">
        <f>アイテム項目!$A337</f>
        <v>T-0801</v>
      </c>
      <c r="F337" t="str">
        <f>IFERROR(INDEX(C項目!$E:$E,MATCH(アイテムビューア!$E337,C項目!$D:$D,0)),"")</f>
        <v/>
      </c>
      <c r="G337" t="str">
        <f>アイテム項目!$E337</f>
        <v>I-00326</v>
      </c>
      <c r="H337" t="str">
        <f>アイテム項目!$F337</f>
        <v>アクリル ピンセットスタンド</v>
      </c>
      <c r="I337">
        <f>アイテム項目!$G337</f>
        <v>0</v>
      </c>
      <c r="J337">
        <f>アイテム項目!$H337</f>
        <v>0</v>
      </c>
      <c r="K337">
        <f>アイテム項目!$I337</f>
        <v>0</v>
      </c>
    </row>
    <row r="338" spans="1:11">
      <c r="A338" t="str">
        <f>IFERROR(INDEX(T項目!$A:$A,MATCH(アイテムビューア!$C338,T項目!$D:$D,0)),"")</f>
        <v/>
      </c>
      <c r="B338" t="str">
        <f>IFERROR(INDEX(S項目!$B:$B,MATCH(アイテムビューア!$A338,S項目!$A:$A,0)),"")</f>
        <v/>
      </c>
      <c r="C338" t="str">
        <f>IFERROR(INDEX(C項目!$A:$A,MATCH(アイテムビューア!$E338,C項目!$D:$D,0)),"")</f>
        <v/>
      </c>
      <c r="D338" t="str">
        <f>IFERROR(INDEX(T項目!$E:$E,MATCH(アイテムビューア!$C338,T項目!$D:$D,0)),"")</f>
        <v/>
      </c>
      <c r="E338" t="str">
        <f>アイテム項目!$A338</f>
        <v>T-0801</v>
      </c>
      <c r="F338" t="str">
        <f>IFERROR(INDEX(C項目!$E:$E,MATCH(アイテムビューア!$E338,C項目!$D:$D,0)),"")</f>
        <v/>
      </c>
      <c r="G338" t="str">
        <f>アイテム項目!$E338</f>
        <v>I-00327</v>
      </c>
      <c r="H338" t="str">
        <f>アイテム項目!$F338</f>
        <v>エリエール ティッシュペーパー</v>
      </c>
      <c r="I338">
        <f>アイテム項目!$G338</f>
        <v>0</v>
      </c>
      <c r="J338">
        <f>アイテム項目!$H338</f>
        <v>0</v>
      </c>
      <c r="K338">
        <f>アイテム項目!$I338</f>
        <v>0</v>
      </c>
    </row>
    <row r="339" spans="1:11">
      <c r="A339" t="str">
        <f>IFERROR(INDEX(T項目!$A:$A,MATCH(アイテムビューア!$C339,T項目!$D:$D,0)),"")</f>
        <v/>
      </c>
      <c r="B339" t="str">
        <f>IFERROR(INDEX(S項目!$B:$B,MATCH(アイテムビューア!$A339,S項目!$A:$A,0)),"")</f>
        <v/>
      </c>
      <c r="C339" t="str">
        <f>IFERROR(INDEX(C項目!$A:$A,MATCH(アイテムビューア!$E339,C項目!$D:$D,0)),"")</f>
        <v/>
      </c>
      <c r="D339" t="str">
        <f>IFERROR(INDEX(T項目!$E:$E,MATCH(アイテムビューア!$C339,T項目!$D:$D,0)),"")</f>
        <v/>
      </c>
      <c r="E339" t="str">
        <f>アイテム項目!$A339</f>
        <v>T-0801</v>
      </c>
      <c r="F339" t="str">
        <f>IFERROR(INDEX(C項目!$E:$E,MATCH(アイテムビューア!$E339,C項目!$D:$D,0)),"")</f>
        <v/>
      </c>
      <c r="G339" t="str">
        <f>アイテム項目!$E339</f>
        <v>I-00328</v>
      </c>
      <c r="H339" t="str">
        <f>アイテム項目!$F339</f>
        <v>白 タオル</v>
      </c>
      <c r="I339">
        <f>アイテム項目!$G339</f>
        <v>0</v>
      </c>
      <c r="J339">
        <f>アイテム項目!$H339</f>
        <v>0</v>
      </c>
      <c r="K339">
        <f>アイテム項目!$I339</f>
        <v>0</v>
      </c>
    </row>
    <row r="340" spans="1:11">
      <c r="A340" t="str">
        <f>IFERROR(INDEX(T項目!$A:$A,MATCH(アイテムビューア!$C340,T項目!$D:$D,0)),"")</f>
        <v/>
      </c>
      <c r="B340" t="str">
        <f>IFERROR(INDEX(S項目!$B:$B,MATCH(アイテムビューア!$A340,S項目!$A:$A,0)),"")</f>
        <v/>
      </c>
      <c r="C340" t="str">
        <f>IFERROR(INDEX(C項目!$A:$A,MATCH(アイテムビューア!$E340,C項目!$D:$D,0)),"")</f>
        <v/>
      </c>
      <c r="D340" t="str">
        <f>IFERROR(INDEX(T項目!$E:$E,MATCH(アイテムビューア!$C340,T項目!$D:$D,0)),"")</f>
        <v/>
      </c>
      <c r="E340" t="str">
        <f>アイテム項目!$A340</f>
        <v>T-0801</v>
      </c>
      <c r="F340" t="str">
        <f>IFERROR(INDEX(C項目!$E:$E,MATCH(アイテムビューア!$E340,C項目!$D:$D,0)),"")</f>
        <v/>
      </c>
      <c r="G340" t="str">
        <f>アイテム項目!$E340</f>
        <v>I-00329</v>
      </c>
      <c r="H340" t="str">
        <f>アイテム項目!$F340</f>
        <v>ピンク タオル</v>
      </c>
      <c r="I340">
        <f>アイテム項目!$G340</f>
        <v>0</v>
      </c>
      <c r="J340">
        <f>アイテム項目!$H340</f>
        <v>0</v>
      </c>
      <c r="K340">
        <f>アイテム項目!$I340</f>
        <v>0</v>
      </c>
    </row>
    <row r="341" spans="1:11">
      <c r="A341" t="str">
        <f>IFERROR(INDEX(T項目!$A:$A,MATCH(アイテムビューア!$C341,T項目!$D:$D,0)),"")</f>
        <v/>
      </c>
      <c r="B341" t="str">
        <f>IFERROR(INDEX(S項目!$B:$B,MATCH(アイテムビューア!$A341,S項目!$A:$A,0)),"")</f>
        <v/>
      </c>
      <c r="C341" t="str">
        <f>IFERROR(INDEX(C項目!$A:$A,MATCH(アイテムビューア!$E341,C項目!$D:$D,0)),"")</f>
        <v/>
      </c>
      <c r="D341" t="str">
        <f>IFERROR(INDEX(T項目!$E:$E,MATCH(アイテムビューア!$C341,T項目!$D:$D,0)),"")</f>
        <v/>
      </c>
      <c r="E341">
        <f>アイテム項目!$A341</f>
        <v>0</v>
      </c>
      <c r="F341" t="str">
        <f>IFERROR(INDEX(C項目!$E:$E,MATCH(アイテムビューア!$E341,C項目!$D:$D,0)),"")</f>
        <v/>
      </c>
      <c r="G341">
        <f>アイテム項目!$E341</f>
        <v>0</v>
      </c>
      <c r="H341">
        <f>アイテム項目!$F341</f>
        <v>0</v>
      </c>
      <c r="I341">
        <f>アイテム項目!$G341</f>
        <v>0</v>
      </c>
      <c r="J341">
        <f>アイテム項目!$H341</f>
        <v>0</v>
      </c>
      <c r="K341">
        <f>アイテム項目!$I341</f>
        <v>0</v>
      </c>
    </row>
    <row r="342" spans="1:11">
      <c r="A342" t="str">
        <f>IFERROR(INDEX(T項目!$A:$A,MATCH(アイテムビューア!$C342,T項目!$D:$D,0)),"")</f>
        <v>S-008</v>
      </c>
      <c r="B342" t="str">
        <f>IFERROR(INDEX(S項目!$B:$B,MATCH(アイテムビューア!$A342,S項目!$A:$A,0)),"")</f>
        <v>作業用ラック</v>
      </c>
      <c r="C342" t="str">
        <f>IFERROR(INDEX(C項目!$A:$A,MATCH(アイテムビューア!$E342,C項目!$D:$D,0)),"")</f>
        <v>T-0802</v>
      </c>
      <c r="D342" t="str">
        <f>IFERROR(INDEX(T項目!$E:$E,MATCH(アイテムビューア!$C342,T項目!$D:$D,0)),"")</f>
        <v>下段</v>
      </c>
      <c r="E342" t="str">
        <f>アイテム項目!$A342</f>
        <v>C-080201</v>
      </c>
      <c r="F342" t="str">
        <f>IFERROR(INDEX(C項目!$E:$E,MATCH(アイテムビューア!$E342,C項目!$D:$D,0)),"")</f>
        <v>緑のバケツ</v>
      </c>
      <c r="G342" t="str">
        <f>アイテム項目!$E342</f>
        <v>I-00330</v>
      </c>
      <c r="H342" t="str">
        <f>アイテム項目!$F342</f>
        <v>セメダイン</v>
      </c>
      <c r="I342" t="str">
        <f>アイテム項目!$G342</f>
        <v>バスコークN</v>
      </c>
      <c r="J342">
        <f>アイテム項目!$H342</f>
        <v>0</v>
      </c>
      <c r="K342">
        <f>アイテム項目!$I342</f>
        <v>0</v>
      </c>
    </row>
    <row r="343" spans="1:11">
      <c r="A343" t="str">
        <f>IFERROR(INDEX(T項目!$A:$A,MATCH(アイテムビューア!$C343,T項目!$D:$D,0)),"")</f>
        <v>S-008</v>
      </c>
      <c r="B343" t="str">
        <f>IFERROR(INDEX(S項目!$B:$B,MATCH(アイテムビューア!$A343,S項目!$A:$A,0)),"")</f>
        <v>作業用ラック</v>
      </c>
      <c r="C343" t="str">
        <f>IFERROR(INDEX(C項目!$A:$A,MATCH(アイテムビューア!$E343,C項目!$D:$D,0)),"")</f>
        <v>T-0802</v>
      </c>
      <c r="D343" t="str">
        <f>IFERROR(INDEX(T項目!$E:$E,MATCH(アイテムビューア!$C343,T項目!$D:$D,0)),"")</f>
        <v>下段</v>
      </c>
      <c r="E343" t="str">
        <f>アイテム項目!$A343</f>
        <v>C-080201</v>
      </c>
      <c r="F343" t="str">
        <f>IFERROR(INDEX(C項目!$E:$E,MATCH(アイテムビューア!$E343,C項目!$D:$D,0)),"")</f>
        <v>緑のバケツ</v>
      </c>
      <c r="G343" t="str">
        <f>アイテム項目!$E343</f>
        <v>I-00331</v>
      </c>
      <c r="H343" t="str">
        <f>アイテム項目!$F343</f>
        <v>USB Type-A ケーブル</v>
      </c>
      <c r="I343">
        <f>アイテム項目!$G343</f>
        <v>0</v>
      </c>
      <c r="J343">
        <f>アイテム項目!$H343</f>
        <v>0</v>
      </c>
      <c r="K343">
        <f>アイテム項目!$I343</f>
        <v>0</v>
      </c>
    </row>
    <row r="344" spans="1:11">
      <c r="A344" t="str">
        <f>IFERROR(INDEX(T項目!$A:$A,MATCH(アイテムビューア!$C344,T項目!$D:$D,0)),"")</f>
        <v>S-008</v>
      </c>
      <c r="B344" t="str">
        <f>IFERROR(INDEX(S項目!$B:$B,MATCH(アイテムビューア!$A344,S項目!$A:$A,0)),"")</f>
        <v>作業用ラック</v>
      </c>
      <c r="C344" t="str">
        <f>IFERROR(INDEX(C項目!$A:$A,MATCH(アイテムビューア!$E344,C項目!$D:$D,0)),"")</f>
        <v>T-0802</v>
      </c>
      <c r="D344" t="str">
        <f>IFERROR(INDEX(T項目!$E:$E,MATCH(アイテムビューア!$C344,T項目!$D:$D,0)),"")</f>
        <v>下段</v>
      </c>
      <c r="E344" t="str">
        <f>アイテム項目!$A344</f>
        <v>C-080201</v>
      </c>
      <c r="F344" t="str">
        <f>IFERROR(INDEX(C項目!$E:$E,MATCH(アイテムビューア!$E344,C項目!$D:$D,0)),"")</f>
        <v>緑のバケツ</v>
      </c>
      <c r="G344" t="str">
        <f>アイテム項目!$E344</f>
        <v>I-00332</v>
      </c>
      <c r="H344" t="str">
        <f>アイテム項目!$F344</f>
        <v>緑</v>
      </c>
      <c r="I344" t="str">
        <f>アイテム項目!$G344</f>
        <v>ハンドクランプ</v>
      </c>
      <c r="J344">
        <f>アイテム項目!$H344</f>
        <v>0</v>
      </c>
      <c r="K344">
        <f>アイテム項目!$I344</f>
        <v>0</v>
      </c>
    </row>
    <row r="345" spans="1:11">
      <c r="A345" t="str">
        <f>IFERROR(INDEX(T項目!$A:$A,MATCH(アイテムビューア!$C345,T項目!$D:$D,0)),"")</f>
        <v>S-008</v>
      </c>
      <c r="B345" t="str">
        <f>IFERROR(INDEX(S項目!$B:$B,MATCH(アイテムビューア!$A345,S項目!$A:$A,0)),"")</f>
        <v>作業用ラック</v>
      </c>
      <c r="C345" t="str">
        <f>IFERROR(INDEX(C項目!$A:$A,MATCH(アイテムビューア!$E345,C項目!$D:$D,0)),"")</f>
        <v>T-0802</v>
      </c>
      <c r="D345" t="str">
        <f>IFERROR(INDEX(T項目!$E:$E,MATCH(アイテムビューア!$C345,T項目!$D:$D,0)),"")</f>
        <v>下段</v>
      </c>
      <c r="E345" t="str">
        <f>アイテム項目!$A345</f>
        <v>C-080201</v>
      </c>
      <c r="F345" t="str">
        <f>IFERROR(INDEX(C項目!$E:$E,MATCH(アイテムビューア!$E345,C項目!$D:$D,0)),"")</f>
        <v>緑のバケツ</v>
      </c>
      <c r="G345" t="str">
        <f>アイテム項目!$E345</f>
        <v>I-00333</v>
      </c>
      <c r="H345" t="str">
        <f>アイテム項目!$F345</f>
        <v>折蝶番</v>
      </c>
      <c r="I345">
        <f>アイテム項目!$G345</f>
        <v>0</v>
      </c>
      <c r="J345">
        <f>アイテム項目!$H345</f>
        <v>0</v>
      </c>
      <c r="K345">
        <f>アイテム項目!$I345</f>
        <v>0</v>
      </c>
    </row>
    <row r="346" spans="1:11">
      <c r="A346" t="str">
        <f>IFERROR(INDEX(T項目!$A:$A,MATCH(アイテムビューア!$C346,T項目!$D:$D,0)),"")</f>
        <v>S-008</v>
      </c>
      <c r="B346" t="str">
        <f>IFERROR(INDEX(S項目!$B:$B,MATCH(アイテムビューア!$A346,S項目!$A:$A,0)),"")</f>
        <v>作業用ラック</v>
      </c>
      <c r="C346" t="str">
        <f>IFERROR(INDEX(C項目!$A:$A,MATCH(アイテムビューア!$E346,C項目!$D:$D,0)),"")</f>
        <v>T-0802</v>
      </c>
      <c r="D346" t="str">
        <f>IFERROR(INDEX(T項目!$E:$E,MATCH(アイテムビューア!$C346,T項目!$D:$D,0)),"")</f>
        <v>下段</v>
      </c>
      <c r="E346" t="str">
        <f>アイテム項目!$A346</f>
        <v>C-080201</v>
      </c>
      <c r="F346" t="str">
        <f>IFERROR(INDEX(C項目!$E:$E,MATCH(アイテムビューア!$E346,C項目!$D:$D,0)),"")</f>
        <v>緑のバケツ</v>
      </c>
      <c r="G346" t="str">
        <f>アイテム項目!$E346</f>
        <v>I-00334</v>
      </c>
      <c r="H346" t="str">
        <f>アイテム項目!$F346</f>
        <v>ACアダプター</v>
      </c>
      <c r="I346" t="str">
        <f>アイテム項目!$G346</f>
        <v>黒</v>
      </c>
      <c r="J346">
        <f>アイテム項目!$H346</f>
        <v>0</v>
      </c>
      <c r="K346">
        <f>アイテム項目!$I346</f>
        <v>0</v>
      </c>
    </row>
    <row r="347" spans="1:11">
      <c r="A347" t="str">
        <f>IFERROR(INDEX(T項目!$A:$A,MATCH(アイテムビューア!$C347,T項目!$D:$D,0)),"")</f>
        <v/>
      </c>
      <c r="B347" t="str">
        <f>IFERROR(INDEX(S項目!$B:$B,MATCH(アイテムビューア!$A347,S項目!$A:$A,0)),"")</f>
        <v/>
      </c>
      <c r="C347" t="str">
        <f>IFERROR(INDEX(C項目!$A:$A,MATCH(アイテムビューア!$E347,C項目!$D:$D,0)),"")</f>
        <v/>
      </c>
      <c r="D347" t="str">
        <f>IFERROR(INDEX(T項目!$E:$E,MATCH(アイテムビューア!$C347,T項目!$D:$D,0)),"")</f>
        <v/>
      </c>
      <c r="E347" t="str">
        <f>アイテム項目!$A347</f>
        <v>T-0701</v>
      </c>
      <c r="F347" t="str">
        <f>IFERROR(INDEX(C項目!$E:$E,MATCH(アイテムビューア!$E347,C項目!$D:$D,0)),"")</f>
        <v/>
      </c>
      <c r="G347" t="str">
        <f>アイテム項目!$E347</f>
        <v>I-00335</v>
      </c>
      <c r="H347" t="str">
        <f>アイテム項目!$F347</f>
        <v>Google Home mini</v>
      </c>
      <c r="I347" t="str">
        <f>アイテム項目!$G347</f>
        <v>スマートホーム機器</v>
      </c>
      <c r="J347" t="str">
        <f>アイテム項目!$H347</f>
        <v>B</v>
      </c>
      <c r="K347">
        <f>アイテム項目!$I347</f>
        <v>0</v>
      </c>
    </row>
    <row r="348" spans="1:11">
      <c r="A348" t="str">
        <f>IFERROR(INDEX(T項目!$A:$A,MATCH(アイテムビューア!$C348,T項目!$D:$D,0)),"")</f>
        <v/>
      </c>
      <c r="B348" t="str">
        <f>IFERROR(INDEX(S項目!$B:$B,MATCH(アイテムビューア!$A348,S項目!$A:$A,0)),"")</f>
        <v/>
      </c>
      <c r="C348" t="str">
        <f>IFERROR(INDEX(C項目!$A:$A,MATCH(アイテムビューア!$E348,C項目!$D:$D,0)),"")</f>
        <v/>
      </c>
      <c r="D348" t="str">
        <f>IFERROR(INDEX(T項目!$E:$E,MATCH(アイテムビューア!$C348,T項目!$D:$D,0)),"")</f>
        <v/>
      </c>
      <c r="E348" t="str">
        <f>アイテム項目!$A348</f>
        <v>T-0701</v>
      </c>
      <c r="F348" t="str">
        <f>IFERROR(INDEX(C項目!$E:$E,MATCH(アイテムビューア!$E348,C項目!$D:$D,0)),"")</f>
        <v/>
      </c>
      <c r="G348" t="str">
        <f>アイテム項目!$E348</f>
        <v>I-00336</v>
      </c>
      <c r="H348" t="str">
        <f>アイテム項目!$F348</f>
        <v>SwitchBot Hub</v>
      </c>
      <c r="I348" t="str">
        <f>アイテム項目!$G348</f>
        <v>スマートホーム機器</v>
      </c>
      <c r="J348" t="str">
        <f>アイテム項目!$H348</f>
        <v>B</v>
      </c>
      <c r="K348">
        <f>アイテム項目!$I348</f>
        <v>0</v>
      </c>
    </row>
    <row r="349" spans="1:11">
      <c r="A349" t="str">
        <f>IFERROR(INDEX(T項目!$A:$A,MATCH(アイテムビューア!$C349,T項目!$D:$D,0)),"")</f>
        <v/>
      </c>
      <c r="B349" t="str">
        <f>IFERROR(INDEX(S項目!$B:$B,MATCH(アイテムビューア!$A349,S項目!$A:$A,0)),"")</f>
        <v/>
      </c>
      <c r="C349" t="str">
        <f>IFERROR(INDEX(C項目!$A:$A,MATCH(アイテムビューア!$E349,C項目!$D:$D,0)),"")</f>
        <v/>
      </c>
      <c r="D349" t="str">
        <f>IFERROR(INDEX(T項目!$E:$E,MATCH(アイテムビューア!$C349,T項目!$D:$D,0)),"")</f>
        <v/>
      </c>
      <c r="E349">
        <f>アイテム項目!$A349</f>
        <v>0</v>
      </c>
      <c r="F349" t="str">
        <f>IFERROR(INDEX(C項目!$E:$E,MATCH(アイテムビューア!$E349,C項目!$D:$D,0)),"")</f>
        <v/>
      </c>
      <c r="G349">
        <f>アイテム項目!$E349</f>
        <v>0</v>
      </c>
      <c r="H349">
        <f>アイテム項目!$F349</f>
        <v>0</v>
      </c>
      <c r="I349">
        <f>アイテム項目!$G349</f>
        <v>0</v>
      </c>
      <c r="J349">
        <f>アイテム項目!$H349</f>
        <v>0</v>
      </c>
      <c r="K349">
        <f>アイテム項目!$I349</f>
        <v>0</v>
      </c>
    </row>
    <row r="350" spans="1:11">
      <c r="A350" t="str">
        <f>IFERROR(INDEX(T項目!$A:$A,MATCH(アイテムビューア!$C350,T項目!$D:$D,0)),"")</f>
        <v/>
      </c>
      <c r="B350" t="str">
        <f>IFERROR(INDEX(S項目!$B:$B,MATCH(アイテムビューア!$A350,S項目!$A:$A,0)),"")</f>
        <v/>
      </c>
      <c r="C350" t="str">
        <f>IFERROR(INDEX(C項目!$A:$A,MATCH(アイテムビューア!$E350,C項目!$D:$D,0)),"")</f>
        <v/>
      </c>
      <c r="D350" t="str">
        <f>IFERROR(INDEX(T項目!$E:$E,MATCH(アイテムビューア!$C350,T項目!$D:$D,0)),"")</f>
        <v/>
      </c>
      <c r="E350">
        <f>アイテム項目!$A350</f>
        <v>0</v>
      </c>
      <c r="F350" t="str">
        <f>IFERROR(INDEX(C項目!$E:$E,MATCH(アイテムビューア!$E350,C項目!$D:$D,0)),"")</f>
        <v/>
      </c>
      <c r="G350">
        <f>アイテム項目!$E350</f>
        <v>0</v>
      </c>
      <c r="H350">
        <f>アイテム項目!$F350</f>
        <v>0</v>
      </c>
      <c r="I350">
        <f>アイテム項目!$G350</f>
        <v>0</v>
      </c>
      <c r="J350">
        <f>アイテム項目!$H350</f>
        <v>0</v>
      </c>
      <c r="K350">
        <f>アイテム項目!$I350</f>
        <v>0</v>
      </c>
    </row>
    <row r="351" spans="1:11">
      <c r="A351" t="str">
        <f>IFERROR(INDEX(T項目!$A:$A,MATCH(アイテムビューア!$C351,T項目!$D:$D,0)),"")</f>
        <v>S-003</v>
      </c>
      <c r="B351" t="str">
        <f>IFERROR(INDEX(S項目!$B:$B,MATCH(アイテムビューア!$A351,S項目!$A:$A,0)),"")</f>
        <v>南ラック</v>
      </c>
      <c r="C351" t="str">
        <f>IFERROR(INDEX(C項目!$A:$A,MATCH(アイテムビューア!$E351,C項目!$D:$D,0)),"")</f>
        <v>T-0304</v>
      </c>
      <c r="D351" t="str">
        <f>IFERROR(INDEX(T項目!$E:$E,MATCH(アイテムビューア!$C351,T項目!$D:$D,0)),"")</f>
        <v>左底面</v>
      </c>
      <c r="E351" t="str">
        <f>アイテム項目!$A351</f>
        <v>C-030401</v>
      </c>
      <c r="F351" t="str">
        <f>IFERROR(INDEX(C項目!$E:$E,MATCH(アイテムビューア!$E351,C項目!$D:$D,0)),"")</f>
        <v>工具キャリーバッグ（赤黒）</v>
      </c>
      <c r="G351" t="str">
        <f>アイテム項目!$E351</f>
        <v>I-00337</v>
      </c>
      <c r="H351" t="str">
        <f>アイテム項目!$F351</f>
        <v>ミニラジオペンチ 青</v>
      </c>
      <c r="I351" t="str">
        <f>アイテム項目!$G351</f>
        <v>工具</v>
      </c>
      <c r="J351" t="str">
        <f>アイテム項目!$H351</f>
        <v>B</v>
      </c>
      <c r="K351">
        <f>アイテム項目!$I351</f>
        <v>0</v>
      </c>
    </row>
    <row r="352" spans="1:11">
      <c r="A352" t="str">
        <f>IFERROR(INDEX(T項目!$A:$A,MATCH(アイテムビューア!$C352,T項目!$D:$D,0)),"")</f>
        <v>S-003</v>
      </c>
      <c r="B352" t="str">
        <f>IFERROR(INDEX(S項目!$B:$B,MATCH(アイテムビューア!$A352,S項目!$A:$A,0)),"")</f>
        <v>南ラック</v>
      </c>
      <c r="C352" t="str">
        <f>IFERROR(INDEX(C項目!$A:$A,MATCH(アイテムビューア!$E352,C項目!$D:$D,0)),"")</f>
        <v>T-0304</v>
      </c>
      <c r="D352" t="str">
        <f>IFERROR(INDEX(T項目!$E:$E,MATCH(アイテムビューア!$C352,T項目!$D:$D,0)),"")</f>
        <v>左底面</v>
      </c>
      <c r="E352" t="str">
        <f>アイテム項目!$A352</f>
        <v>C-030401</v>
      </c>
      <c r="F352" t="str">
        <f>IFERROR(INDEX(C項目!$E:$E,MATCH(アイテムビューア!$E352,C項目!$D:$D,0)),"")</f>
        <v>工具キャリーバッグ（赤黒）</v>
      </c>
      <c r="G352" t="str">
        <f>アイテム項目!$E352</f>
        <v>I-00338</v>
      </c>
      <c r="H352" t="str">
        <f>アイテム項目!$F352</f>
        <v>コンビネーションハンマー 黄黒</v>
      </c>
      <c r="I352" t="str">
        <f>アイテム項目!$G352</f>
        <v>工具</v>
      </c>
      <c r="J352" t="str">
        <f>アイテム項目!$H352</f>
        <v>B</v>
      </c>
      <c r="K352">
        <f>アイテム項目!$I352</f>
        <v>0</v>
      </c>
    </row>
    <row r="353" spans="1:11">
      <c r="A353" t="str">
        <f>IFERROR(INDEX(T項目!$A:$A,MATCH(アイテムビューア!$C353,T項目!$D:$D,0)),"")</f>
        <v>S-003</v>
      </c>
      <c r="B353" t="str">
        <f>IFERROR(INDEX(S項目!$B:$B,MATCH(アイテムビューア!$A353,S項目!$A:$A,0)),"")</f>
        <v>南ラック</v>
      </c>
      <c r="C353" t="str">
        <f>IFERROR(INDEX(C項目!$A:$A,MATCH(アイテムビューア!$E353,C項目!$D:$D,0)),"")</f>
        <v>T-0304</v>
      </c>
      <c r="D353" t="str">
        <f>IFERROR(INDEX(T項目!$E:$E,MATCH(アイテムビューア!$C353,T項目!$D:$D,0)),"")</f>
        <v>左底面</v>
      </c>
      <c r="E353" t="str">
        <f>アイテム項目!$A353</f>
        <v>C-030401</v>
      </c>
      <c r="F353" t="str">
        <f>IFERROR(INDEX(C項目!$E:$E,MATCH(アイテムビューア!$E353,C項目!$D:$D,0)),"")</f>
        <v>工具キャリーバッグ（赤黒）</v>
      </c>
      <c r="G353" t="str">
        <f>アイテム項目!$E353</f>
        <v>I-00339</v>
      </c>
      <c r="H353" t="str">
        <f>アイテム項目!$F353</f>
        <v>ペンチ（サビあり） オレンジ黒</v>
      </c>
      <c r="I353" t="str">
        <f>アイテム項目!$G353</f>
        <v>工具</v>
      </c>
      <c r="J353" t="str">
        <f>アイテム項目!$H353</f>
        <v>B</v>
      </c>
      <c r="K353">
        <f>アイテム項目!$I353</f>
        <v>0</v>
      </c>
    </row>
    <row r="354" spans="1:11">
      <c r="A354" t="str">
        <f>IFERROR(INDEX(T項目!$A:$A,MATCH(アイテムビューア!$C354,T項目!$D:$D,0)),"")</f>
        <v>S-003</v>
      </c>
      <c r="B354" t="str">
        <f>IFERROR(INDEX(S項目!$B:$B,MATCH(アイテムビューア!$A354,S項目!$A:$A,0)),"")</f>
        <v>南ラック</v>
      </c>
      <c r="C354" t="str">
        <f>IFERROR(INDEX(C項目!$A:$A,MATCH(アイテムビューア!$E354,C項目!$D:$D,0)),"")</f>
        <v>T-0304</v>
      </c>
      <c r="D354" t="str">
        <f>IFERROR(INDEX(T項目!$E:$E,MATCH(アイテムビューア!$C354,T項目!$D:$D,0)),"")</f>
        <v>左底面</v>
      </c>
      <c r="E354" t="str">
        <f>アイテム項目!$A354</f>
        <v>C-030401</v>
      </c>
      <c r="F354" t="str">
        <f>IFERROR(INDEX(C項目!$E:$E,MATCH(アイテムビューア!$E354,C項目!$D:$D,0)),"")</f>
        <v>工具キャリーバッグ（赤黒）</v>
      </c>
      <c r="G354" t="str">
        <f>アイテム項目!$E354</f>
        <v>I-00340</v>
      </c>
      <c r="H354" t="str">
        <f>アイテム項目!$F354</f>
        <v>電工ペンチ 黄黒</v>
      </c>
      <c r="I354" t="str">
        <f>アイテム項目!$G354</f>
        <v>工具</v>
      </c>
      <c r="J354" t="str">
        <f>アイテム項目!$H354</f>
        <v>B</v>
      </c>
      <c r="K354">
        <f>アイテム項目!$I354</f>
        <v>0</v>
      </c>
    </row>
    <row r="355" spans="1:11">
      <c r="A355" t="str">
        <f>IFERROR(INDEX(T項目!$A:$A,MATCH(アイテムビューア!$C355,T項目!$D:$D,0)),"")</f>
        <v>S-003</v>
      </c>
      <c r="B355" t="str">
        <f>IFERROR(INDEX(S項目!$B:$B,MATCH(アイテムビューア!$A355,S項目!$A:$A,0)),"")</f>
        <v>南ラック</v>
      </c>
      <c r="C355" t="str">
        <f>IFERROR(INDEX(C項目!$A:$A,MATCH(アイテムビューア!$E355,C項目!$D:$D,0)),"")</f>
        <v>T-0304</v>
      </c>
      <c r="D355" t="str">
        <f>IFERROR(INDEX(T項目!$E:$E,MATCH(アイテムビューア!$C355,T項目!$D:$D,0)),"")</f>
        <v>左底面</v>
      </c>
      <c r="E355" t="str">
        <f>アイテム項目!$A355</f>
        <v>C-030401</v>
      </c>
      <c r="F355" t="str">
        <f>IFERROR(INDEX(C項目!$E:$E,MATCH(アイテムビューア!$E355,C項目!$D:$D,0)),"")</f>
        <v>工具キャリーバッグ（赤黒）</v>
      </c>
      <c r="G355" t="str">
        <f>アイテム項目!$E355</f>
        <v>I-00341</v>
      </c>
      <c r="H355" t="str">
        <f>アイテム項目!$F355</f>
        <v>ニッパー 黒</v>
      </c>
      <c r="I355" t="str">
        <f>アイテム項目!$G355</f>
        <v>工具</v>
      </c>
      <c r="J355" t="str">
        <f>アイテム項目!$H355</f>
        <v>B</v>
      </c>
      <c r="K355">
        <f>アイテム項目!$I355</f>
        <v>0</v>
      </c>
    </row>
    <row r="356" spans="1:11">
      <c r="A356" t="str">
        <f>IFERROR(INDEX(T項目!$A:$A,MATCH(アイテムビューア!$C356,T項目!$D:$D,0)),"")</f>
        <v>S-003</v>
      </c>
      <c r="B356" t="str">
        <f>IFERROR(INDEX(S項目!$B:$B,MATCH(アイテムビューア!$A356,S項目!$A:$A,0)),"")</f>
        <v>南ラック</v>
      </c>
      <c r="C356" t="str">
        <f>IFERROR(INDEX(C項目!$A:$A,MATCH(アイテムビューア!$E356,C項目!$D:$D,0)),"")</f>
        <v>T-0304</v>
      </c>
      <c r="D356" t="str">
        <f>IFERROR(INDEX(T項目!$E:$E,MATCH(アイテムビューア!$C356,T項目!$D:$D,0)),"")</f>
        <v>左底面</v>
      </c>
      <c r="E356" t="str">
        <f>アイテム項目!$A356</f>
        <v>C-030401</v>
      </c>
      <c r="F356" t="str">
        <f>IFERROR(INDEX(C項目!$E:$E,MATCH(アイテムビューア!$E356,C項目!$D:$D,0)),"")</f>
        <v>工具キャリーバッグ（赤黒）</v>
      </c>
      <c r="G356" t="str">
        <f>アイテム項目!$E356</f>
        <v>I-00342</v>
      </c>
      <c r="H356" t="str">
        <f>アイテム項目!$F356</f>
        <v>ペンチ 赤黒</v>
      </c>
      <c r="I356" t="str">
        <f>アイテム項目!$G356</f>
        <v>工具</v>
      </c>
      <c r="J356" t="str">
        <f>アイテム項目!$H356</f>
        <v>B</v>
      </c>
      <c r="K356">
        <f>アイテム項目!$I356</f>
        <v>0</v>
      </c>
    </row>
    <row r="357" spans="1:11">
      <c r="A357" t="str">
        <f>IFERROR(INDEX(T項目!$A:$A,MATCH(アイテムビューア!$C357,T項目!$D:$D,0)),"")</f>
        <v>S-003</v>
      </c>
      <c r="B357" t="str">
        <f>IFERROR(INDEX(S項目!$B:$B,MATCH(アイテムビューア!$A357,S項目!$A:$A,0)),"")</f>
        <v>南ラック</v>
      </c>
      <c r="C357" t="str">
        <f>IFERROR(INDEX(C項目!$A:$A,MATCH(アイテムビューア!$E357,C項目!$D:$D,0)),"")</f>
        <v>T-0304</v>
      </c>
      <c r="D357" t="str">
        <f>IFERROR(INDEX(T項目!$E:$E,MATCH(アイテムビューア!$C357,T項目!$D:$D,0)),"")</f>
        <v>左底面</v>
      </c>
      <c r="E357" t="str">
        <f>アイテム項目!$A357</f>
        <v>C-030401</v>
      </c>
      <c r="F357" t="str">
        <f>IFERROR(INDEX(C項目!$E:$E,MATCH(アイテムビューア!$E357,C項目!$D:$D,0)),"")</f>
        <v>工具キャリーバッグ（赤黒）</v>
      </c>
      <c r="G357" t="str">
        <f>アイテム項目!$E357</f>
        <v>I-00343</v>
      </c>
      <c r="H357" t="str">
        <f>アイテム項目!$F357</f>
        <v>ミニラジオペンチ オレンジ黒</v>
      </c>
      <c r="I357" t="str">
        <f>アイテム項目!$G357</f>
        <v>工具</v>
      </c>
      <c r="J357" t="str">
        <f>アイテム項目!$H357</f>
        <v>B</v>
      </c>
      <c r="K357">
        <f>アイテム項目!$I357</f>
        <v>0</v>
      </c>
    </row>
    <row r="358" spans="1:11">
      <c r="A358" t="str">
        <f>IFERROR(INDEX(T項目!$A:$A,MATCH(アイテムビューア!$C358,T項目!$D:$D,0)),"")</f>
        <v>S-003</v>
      </c>
      <c r="B358" t="str">
        <f>IFERROR(INDEX(S項目!$B:$B,MATCH(アイテムビューア!$A358,S項目!$A:$A,0)),"")</f>
        <v>南ラック</v>
      </c>
      <c r="C358" t="str">
        <f>IFERROR(INDEX(C項目!$A:$A,MATCH(アイテムビューア!$E358,C項目!$D:$D,0)),"")</f>
        <v>T-0304</v>
      </c>
      <c r="D358" t="str">
        <f>IFERROR(INDEX(T項目!$E:$E,MATCH(アイテムビューア!$C358,T項目!$D:$D,0)),"")</f>
        <v>左底面</v>
      </c>
      <c r="E358" t="str">
        <f>アイテム項目!$A358</f>
        <v>C-030401</v>
      </c>
      <c r="F358" t="str">
        <f>IFERROR(INDEX(C項目!$E:$E,MATCH(アイテムビューア!$E358,C項目!$D:$D,0)),"")</f>
        <v>工具キャリーバッグ（赤黒）</v>
      </c>
      <c r="G358" t="str">
        <f>アイテム項目!$E358</f>
        <v>I-00344</v>
      </c>
      <c r="H358" t="str">
        <f>アイテム項目!$F358</f>
        <v>ラジオペンチ 紫</v>
      </c>
      <c r="I358" t="str">
        <f>アイテム項目!$G358</f>
        <v>工具</v>
      </c>
      <c r="J358" t="str">
        <f>アイテム項目!$H358</f>
        <v>B</v>
      </c>
      <c r="K358">
        <f>アイテム項目!$I358</f>
        <v>0</v>
      </c>
    </row>
    <row r="359" spans="1:11">
      <c r="A359" t="str">
        <f>IFERROR(INDEX(T項目!$A:$A,MATCH(アイテムビューア!$C359,T項目!$D:$D,0)),"")</f>
        <v>S-003</v>
      </c>
      <c r="B359" t="str">
        <f>IFERROR(INDEX(S項目!$B:$B,MATCH(アイテムビューア!$A359,S項目!$A:$A,0)),"")</f>
        <v>南ラック</v>
      </c>
      <c r="C359" t="str">
        <f>IFERROR(INDEX(C項目!$A:$A,MATCH(アイテムビューア!$E359,C項目!$D:$D,0)),"")</f>
        <v>T-0304</v>
      </c>
      <c r="D359" t="str">
        <f>IFERROR(INDEX(T項目!$E:$E,MATCH(アイテムビューア!$C359,T項目!$D:$D,0)),"")</f>
        <v>左底面</v>
      </c>
      <c r="E359" t="str">
        <f>アイテム項目!$A359</f>
        <v>C-030401</v>
      </c>
      <c r="F359" t="str">
        <f>IFERROR(INDEX(C項目!$E:$E,MATCH(アイテムビューア!$E359,C項目!$D:$D,0)),"")</f>
        <v>工具キャリーバッグ（赤黒）</v>
      </c>
      <c r="G359" t="str">
        <f>アイテム項目!$E359</f>
        <v>I-00345</v>
      </c>
      <c r="H359" t="str">
        <f>アイテム項目!$F359</f>
        <v>先曲がりラジオペンチ 黄</v>
      </c>
      <c r="I359" t="str">
        <f>アイテム項目!$G359</f>
        <v>工具</v>
      </c>
      <c r="J359" t="str">
        <f>アイテム項目!$H359</f>
        <v>B</v>
      </c>
      <c r="K359">
        <f>アイテム項目!$I359</f>
        <v>0</v>
      </c>
    </row>
    <row r="360" spans="1:11">
      <c r="A360" t="str">
        <f>IFERROR(INDEX(T項目!$A:$A,MATCH(アイテムビューア!$C360,T項目!$D:$D,0)),"")</f>
        <v>S-003</v>
      </c>
      <c r="B360" t="str">
        <f>IFERROR(INDEX(S項目!$B:$B,MATCH(アイテムビューア!$A360,S項目!$A:$A,0)),"")</f>
        <v>南ラック</v>
      </c>
      <c r="C360" t="str">
        <f>IFERROR(INDEX(C項目!$A:$A,MATCH(アイテムビューア!$E360,C項目!$D:$D,0)),"")</f>
        <v>T-0304</v>
      </c>
      <c r="D360" t="str">
        <f>IFERROR(INDEX(T項目!$E:$E,MATCH(アイテムビューア!$C360,T項目!$D:$D,0)),"")</f>
        <v>左底面</v>
      </c>
      <c r="E360" t="str">
        <f>アイテム項目!$A360</f>
        <v>C-030401</v>
      </c>
      <c r="F360" t="str">
        <f>IFERROR(INDEX(C項目!$E:$E,MATCH(アイテムビューア!$E360,C項目!$D:$D,0)),"")</f>
        <v>工具キャリーバッグ（赤黒）</v>
      </c>
      <c r="G360" t="str">
        <f>アイテム項目!$E360</f>
        <v>I-00346</v>
      </c>
      <c r="H360" t="str">
        <f>アイテム項目!$F360</f>
        <v>ニッパー 黄緑</v>
      </c>
      <c r="I360" t="str">
        <f>アイテム項目!$G360</f>
        <v>工具</v>
      </c>
      <c r="J360" t="str">
        <f>アイテム項目!$H360</f>
        <v>B</v>
      </c>
      <c r="K360">
        <f>アイテム項目!$I360</f>
        <v>0</v>
      </c>
    </row>
    <row r="361" spans="1:11">
      <c r="A361" t="str">
        <f>IFERROR(INDEX(T項目!$A:$A,MATCH(アイテムビューア!$C361,T項目!$D:$D,0)),"")</f>
        <v>S-003</v>
      </c>
      <c r="B361" t="str">
        <f>IFERROR(INDEX(S項目!$B:$B,MATCH(アイテムビューア!$A361,S項目!$A:$A,0)),"")</f>
        <v>南ラック</v>
      </c>
      <c r="C361" t="str">
        <f>IFERROR(INDEX(C項目!$A:$A,MATCH(アイテムビューア!$E361,C項目!$D:$D,0)),"")</f>
        <v>T-0304</v>
      </c>
      <c r="D361" t="str">
        <f>IFERROR(INDEX(T項目!$E:$E,MATCH(アイテムビューア!$C361,T項目!$D:$D,0)),"")</f>
        <v>左底面</v>
      </c>
      <c r="E361" t="str">
        <f>アイテム項目!$A361</f>
        <v>C-030401</v>
      </c>
      <c r="F361" t="str">
        <f>IFERROR(INDEX(C項目!$E:$E,MATCH(アイテムビューア!$E361,C項目!$D:$D,0)),"")</f>
        <v>工具キャリーバッグ（赤黒）</v>
      </c>
      <c r="G361" t="str">
        <f>アイテム項目!$E361</f>
        <v>I-00347</v>
      </c>
      <c r="H361" t="str">
        <f>アイテム項目!$F361</f>
        <v>ワイヤーストリッパー FUJIYA オレンジ</v>
      </c>
      <c r="I361" t="str">
        <f>アイテム項目!$G361</f>
        <v>工具</v>
      </c>
      <c r="J361" t="str">
        <f>アイテム項目!$H361</f>
        <v>B</v>
      </c>
      <c r="K361">
        <f>アイテム項目!$I361</f>
        <v>0</v>
      </c>
    </row>
    <row r="362" spans="1:11">
      <c r="A362" t="str">
        <f>IFERROR(INDEX(T項目!$A:$A,MATCH(アイテムビューア!$C362,T項目!$D:$D,0)),"")</f>
        <v>S-003</v>
      </c>
      <c r="B362" t="str">
        <f>IFERROR(INDEX(S項目!$B:$B,MATCH(アイテムビューア!$A362,S項目!$A:$A,0)),"")</f>
        <v>南ラック</v>
      </c>
      <c r="C362" t="str">
        <f>IFERROR(INDEX(C項目!$A:$A,MATCH(アイテムビューア!$E362,C項目!$D:$D,0)),"")</f>
        <v>T-0304</v>
      </c>
      <c r="D362" t="str">
        <f>IFERROR(INDEX(T項目!$E:$E,MATCH(アイテムビューア!$C362,T項目!$D:$D,0)),"")</f>
        <v>左底面</v>
      </c>
      <c r="E362" t="str">
        <f>アイテム項目!$A362</f>
        <v>C-030401</v>
      </c>
      <c r="F362" t="str">
        <f>IFERROR(INDEX(C項目!$E:$E,MATCH(アイテムビューア!$E362,C項目!$D:$D,0)),"")</f>
        <v>工具キャリーバッグ（赤黒）</v>
      </c>
      <c r="G362" t="str">
        <f>アイテム項目!$E362</f>
        <v>I-00348</v>
      </c>
      <c r="H362" t="str">
        <f>アイテム項目!$F362</f>
        <v>貫通ドライバー プラス（大） 赤黒</v>
      </c>
      <c r="I362" t="str">
        <f>アイテム項目!$G362</f>
        <v>工具</v>
      </c>
      <c r="J362" t="str">
        <f>アイテム項目!$H362</f>
        <v>B</v>
      </c>
      <c r="K362">
        <f>アイテム項目!$I362</f>
        <v>0</v>
      </c>
    </row>
    <row r="363" spans="1:11">
      <c r="A363" t="str">
        <f>IFERROR(INDEX(T項目!$A:$A,MATCH(アイテムビューア!$C363,T項目!$D:$D,0)),"")</f>
        <v>S-003</v>
      </c>
      <c r="B363" t="str">
        <f>IFERROR(INDEX(S項目!$B:$B,MATCH(アイテムビューア!$A363,S項目!$A:$A,0)),"")</f>
        <v>南ラック</v>
      </c>
      <c r="C363" t="str">
        <f>IFERROR(INDEX(C項目!$A:$A,MATCH(アイテムビューア!$E363,C項目!$D:$D,0)),"")</f>
        <v>T-0304</v>
      </c>
      <c r="D363" t="str">
        <f>IFERROR(INDEX(T項目!$E:$E,MATCH(アイテムビューア!$C363,T項目!$D:$D,0)),"")</f>
        <v>左底面</v>
      </c>
      <c r="E363" t="str">
        <f>アイテム項目!$A363</f>
        <v>C-030401</v>
      </c>
      <c r="F363" t="str">
        <f>IFERROR(INDEX(C項目!$E:$E,MATCH(アイテムビューア!$E363,C項目!$D:$D,0)),"")</f>
        <v>工具キャリーバッグ（赤黒）</v>
      </c>
      <c r="G363" t="str">
        <f>アイテム項目!$E363</f>
        <v>I-00349</v>
      </c>
      <c r="H363" t="str">
        <f>アイテム項目!$F363</f>
        <v>マイナスドライバー 白黒</v>
      </c>
      <c r="I363" t="str">
        <f>アイテム項目!$G363</f>
        <v>工具</v>
      </c>
      <c r="J363" t="str">
        <f>アイテム項目!$H363</f>
        <v>B</v>
      </c>
      <c r="K363">
        <f>アイテム項目!$I363</f>
        <v>0</v>
      </c>
    </row>
    <row r="364" spans="1:11">
      <c r="A364" t="str">
        <f>IFERROR(INDEX(T項目!$A:$A,MATCH(アイテムビューア!$C364,T項目!$D:$D,0)),"")</f>
        <v>S-003</v>
      </c>
      <c r="B364" t="str">
        <f>IFERROR(INDEX(S項目!$B:$B,MATCH(アイテムビューア!$A364,S項目!$A:$A,0)),"")</f>
        <v>南ラック</v>
      </c>
      <c r="C364" t="str">
        <f>IFERROR(INDEX(C項目!$A:$A,MATCH(アイテムビューア!$E364,C項目!$D:$D,0)),"")</f>
        <v>T-0304</v>
      </c>
      <c r="D364" t="str">
        <f>IFERROR(INDEX(T項目!$E:$E,MATCH(アイテムビューア!$C364,T項目!$D:$D,0)),"")</f>
        <v>左底面</v>
      </c>
      <c r="E364" t="str">
        <f>アイテム項目!$A364</f>
        <v>C-030401</v>
      </c>
      <c r="F364" t="str">
        <f>IFERROR(INDEX(C項目!$E:$E,MATCH(アイテムビューア!$E364,C項目!$D:$D,0)),"")</f>
        <v>工具キャリーバッグ（赤黒）</v>
      </c>
      <c r="G364" t="str">
        <f>アイテム項目!$E364</f>
        <v>I-00350</v>
      </c>
      <c r="H364" t="str">
        <f>アイテム項目!$F364</f>
        <v>ドライバー プラス 赤黒</v>
      </c>
      <c r="I364" t="str">
        <f>アイテム項目!$G364</f>
        <v>工具</v>
      </c>
      <c r="J364" t="str">
        <f>アイテム項目!$H364</f>
        <v>B</v>
      </c>
      <c r="K364">
        <f>アイテム項目!$I364</f>
        <v>0</v>
      </c>
    </row>
    <row r="365" spans="1:11">
      <c r="A365" t="str">
        <f>IFERROR(INDEX(T項目!$A:$A,MATCH(アイテムビューア!$C365,T項目!$D:$D,0)),"")</f>
        <v>S-003</v>
      </c>
      <c r="B365" t="str">
        <f>IFERROR(INDEX(S項目!$B:$B,MATCH(アイテムビューア!$A365,S項目!$A:$A,0)),"")</f>
        <v>南ラック</v>
      </c>
      <c r="C365" t="str">
        <f>IFERROR(INDEX(C項目!$A:$A,MATCH(アイテムビューア!$E365,C項目!$D:$D,0)),"")</f>
        <v>T-0304</v>
      </c>
      <c r="D365" t="str">
        <f>IFERROR(INDEX(T項目!$E:$E,MATCH(アイテムビューア!$C365,T項目!$D:$D,0)),"")</f>
        <v>左底面</v>
      </c>
      <c r="E365" t="str">
        <f>アイテム項目!$A365</f>
        <v>C-030401</v>
      </c>
      <c r="F365" t="str">
        <f>IFERROR(INDEX(C項目!$E:$E,MATCH(アイテムビューア!$E365,C項目!$D:$D,0)),"")</f>
        <v>工具キャリーバッグ（赤黒）</v>
      </c>
      <c r="G365" t="str">
        <f>アイテム項目!$E365</f>
        <v>I-00351</v>
      </c>
      <c r="H365" t="str">
        <f>アイテム項目!$F365</f>
        <v>マイナスドライバー（小） 赤黒</v>
      </c>
      <c r="I365" t="str">
        <f>アイテム項目!$G365</f>
        <v>工具</v>
      </c>
      <c r="J365" t="str">
        <f>アイテム項目!$H365</f>
        <v>B</v>
      </c>
      <c r="K365">
        <f>アイテム項目!$I365</f>
        <v>0</v>
      </c>
    </row>
    <row r="366" spans="1:11">
      <c r="A366" t="str">
        <f>IFERROR(INDEX(T項目!$A:$A,MATCH(アイテムビューア!$C366,T項目!$D:$D,0)),"")</f>
        <v>S-003</v>
      </c>
      <c r="B366" t="str">
        <f>IFERROR(INDEX(S項目!$B:$B,MATCH(アイテムビューア!$A366,S項目!$A:$A,0)),"")</f>
        <v>南ラック</v>
      </c>
      <c r="C366" t="str">
        <f>IFERROR(INDEX(C項目!$A:$A,MATCH(アイテムビューア!$E366,C項目!$D:$D,0)),"")</f>
        <v>T-0304</v>
      </c>
      <c r="D366" t="str">
        <f>IFERROR(INDEX(T項目!$E:$E,MATCH(アイテムビューア!$C366,T項目!$D:$D,0)),"")</f>
        <v>左底面</v>
      </c>
      <c r="E366" t="str">
        <f>アイテム項目!$A366</f>
        <v>C-030401</v>
      </c>
      <c r="F366" t="str">
        <f>IFERROR(INDEX(C項目!$E:$E,MATCH(アイテムビューア!$E366,C項目!$D:$D,0)),"")</f>
        <v>工具キャリーバッグ（赤黒）</v>
      </c>
      <c r="G366" t="str">
        <f>アイテム項目!$E366</f>
        <v>I-00352</v>
      </c>
      <c r="H366" t="str">
        <f>アイテム項目!$F366</f>
        <v>コンクリートタガネ（小）</v>
      </c>
      <c r="I366" t="str">
        <f>アイテム項目!$G366</f>
        <v>工具</v>
      </c>
      <c r="J366" t="str">
        <f>アイテム項目!$H366</f>
        <v>B</v>
      </c>
      <c r="K366">
        <f>アイテム項目!$I366</f>
        <v>0</v>
      </c>
    </row>
    <row r="367" spans="1:11">
      <c r="A367" t="str">
        <f>IFERROR(INDEX(T項目!$A:$A,MATCH(アイテムビューア!$C367,T項目!$D:$D,0)),"")</f>
        <v>S-003</v>
      </c>
      <c r="B367" t="str">
        <f>IFERROR(INDEX(S項目!$B:$B,MATCH(アイテムビューア!$A367,S項目!$A:$A,0)),"")</f>
        <v>南ラック</v>
      </c>
      <c r="C367" t="str">
        <f>IFERROR(INDEX(C項目!$A:$A,MATCH(アイテムビューア!$E367,C項目!$D:$D,0)),"")</f>
        <v>T-0304</v>
      </c>
      <c r="D367" t="str">
        <f>IFERROR(INDEX(T項目!$E:$E,MATCH(アイテムビューア!$C367,T項目!$D:$D,0)),"")</f>
        <v>左底面</v>
      </c>
      <c r="E367" t="str">
        <f>アイテム項目!$A367</f>
        <v>C-030401</v>
      </c>
      <c r="F367" t="str">
        <f>IFERROR(INDEX(C項目!$E:$E,MATCH(アイテムビューア!$E367,C項目!$D:$D,0)),"")</f>
        <v>工具キャリーバッグ（赤黒）</v>
      </c>
      <c r="G367" t="str">
        <f>アイテム項目!$E367</f>
        <v>I-00353</v>
      </c>
      <c r="H367" t="str">
        <f>アイテム項目!$F367</f>
        <v>コンデンサ型ドライバー 青</v>
      </c>
      <c r="I367" t="str">
        <f>アイテム項目!$G367</f>
        <v>工具</v>
      </c>
      <c r="J367" t="str">
        <f>アイテム項目!$H367</f>
        <v>B</v>
      </c>
      <c r="K367">
        <f>アイテム項目!$I367</f>
        <v>0</v>
      </c>
    </row>
    <row r="368" spans="1:11">
      <c r="A368" t="str">
        <f>IFERROR(INDEX(T項目!$A:$A,MATCH(アイテムビューア!$C368,T項目!$D:$D,0)),"")</f>
        <v>S-003</v>
      </c>
      <c r="B368" t="str">
        <f>IFERROR(INDEX(S項目!$B:$B,MATCH(アイテムビューア!$A368,S項目!$A:$A,0)),"")</f>
        <v>南ラック</v>
      </c>
      <c r="C368" t="str">
        <f>IFERROR(INDEX(C項目!$A:$A,MATCH(アイテムビューア!$E368,C項目!$D:$D,0)),"")</f>
        <v>T-0304</v>
      </c>
      <c r="D368" t="str">
        <f>IFERROR(INDEX(T項目!$E:$E,MATCH(アイテムビューア!$C368,T項目!$D:$D,0)),"")</f>
        <v>左底面</v>
      </c>
      <c r="E368" t="str">
        <f>アイテム項目!$A368</f>
        <v>C-030401</v>
      </c>
      <c r="F368" t="str">
        <f>IFERROR(INDEX(C項目!$E:$E,MATCH(アイテムビューア!$E368,C項目!$D:$D,0)),"")</f>
        <v>工具キャリーバッグ（赤黒）</v>
      </c>
      <c r="G368" t="str">
        <f>アイテム項目!$E368</f>
        <v>I-00354</v>
      </c>
      <c r="H368" t="str">
        <f>アイテム項目!$F368</f>
        <v>30cm差し金（L字定規）</v>
      </c>
      <c r="I368" t="str">
        <f>アイテム項目!$G368</f>
        <v>工具</v>
      </c>
      <c r="J368" t="str">
        <f>アイテム項目!$H368</f>
        <v>B</v>
      </c>
      <c r="K368">
        <f>アイテム項目!$I368</f>
        <v>0</v>
      </c>
    </row>
    <row r="369" spans="1:11">
      <c r="A369" t="str">
        <f>IFERROR(INDEX(T項目!$A:$A,MATCH(アイテムビューア!$C369,T項目!$D:$D,0)),"")</f>
        <v>S-003</v>
      </c>
      <c r="B369" t="str">
        <f>IFERROR(INDEX(S項目!$B:$B,MATCH(アイテムビューア!$A369,S項目!$A:$A,0)),"")</f>
        <v>南ラック</v>
      </c>
      <c r="C369" t="str">
        <f>IFERROR(INDEX(C項目!$A:$A,MATCH(アイテムビューア!$E369,C項目!$D:$D,0)),"")</f>
        <v>T-0304</v>
      </c>
      <c r="D369" t="str">
        <f>IFERROR(INDEX(T項目!$E:$E,MATCH(アイテムビューア!$C369,T項目!$D:$D,0)),"")</f>
        <v>左底面</v>
      </c>
      <c r="E369" t="str">
        <f>アイテム項目!$A369</f>
        <v>C-030401</v>
      </c>
      <c r="F369" t="str">
        <f>IFERROR(INDEX(C項目!$E:$E,MATCH(アイテムビューア!$E369,C項目!$D:$D,0)),"")</f>
        <v>工具キャリーバッグ（赤黒）</v>
      </c>
      <c r="G369" t="str">
        <f>アイテム項目!$E369</f>
        <v>I-00355</v>
      </c>
      <c r="H369" t="str">
        <f>アイテム項目!$F369</f>
        <v>プラスチックノギス 白</v>
      </c>
      <c r="I369" t="str">
        <f>アイテム項目!$G369</f>
        <v>工具</v>
      </c>
      <c r="J369" t="str">
        <f>アイテム項目!$H369</f>
        <v>B</v>
      </c>
      <c r="K369">
        <f>アイテム項目!$I369</f>
        <v>0</v>
      </c>
    </row>
    <row r="370" spans="1:11">
      <c r="A370" t="str">
        <f>IFERROR(INDEX(T項目!$A:$A,MATCH(アイテムビューア!$C370,T項目!$D:$D,0)),"")</f>
        <v>S-003</v>
      </c>
      <c r="B370" t="str">
        <f>IFERROR(INDEX(S項目!$B:$B,MATCH(アイテムビューア!$A370,S項目!$A:$A,0)),"")</f>
        <v>南ラック</v>
      </c>
      <c r="C370" t="str">
        <f>IFERROR(INDEX(C項目!$A:$A,MATCH(アイテムビューア!$E370,C項目!$D:$D,0)),"")</f>
        <v>T-0304</v>
      </c>
      <c r="D370" t="str">
        <f>IFERROR(INDEX(T項目!$E:$E,MATCH(アイテムビューア!$C370,T項目!$D:$D,0)),"")</f>
        <v>左底面</v>
      </c>
      <c r="E370" t="str">
        <f>アイテム項目!$A370</f>
        <v>C-030401</v>
      </c>
      <c r="F370" t="str">
        <f>IFERROR(INDEX(C項目!$E:$E,MATCH(アイテムビューア!$E370,C項目!$D:$D,0)),"")</f>
        <v>工具キャリーバッグ（赤黒）</v>
      </c>
      <c r="G370" t="str">
        <f>アイテム項目!$E370</f>
        <v>I-00356</v>
      </c>
      <c r="H370" t="str">
        <f>アイテム項目!$F370</f>
        <v>ステンレス高級定規 30cm</v>
      </c>
      <c r="I370" t="str">
        <f>アイテム項目!$G370</f>
        <v>工具</v>
      </c>
      <c r="J370" t="str">
        <f>アイテム項目!$H370</f>
        <v>B</v>
      </c>
      <c r="K370">
        <f>アイテム項目!$I370</f>
        <v>0</v>
      </c>
    </row>
    <row r="371" spans="1:11">
      <c r="A371" t="str">
        <f>IFERROR(INDEX(T項目!$A:$A,MATCH(アイテムビューア!$C371,T項目!$D:$D,0)),"")</f>
        <v>S-003</v>
      </c>
      <c r="B371" t="str">
        <f>IFERROR(INDEX(S項目!$B:$B,MATCH(アイテムビューア!$A371,S項目!$A:$A,0)),"")</f>
        <v>南ラック</v>
      </c>
      <c r="C371" t="str">
        <f>IFERROR(INDEX(C項目!$A:$A,MATCH(アイテムビューア!$E371,C項目!$D:$D,0)),"")</f>
        <v>T-0304</v>
      </c>
      <c r="D371" t="str">
        <f>IFERROR(INDEX(T項目!$E:$E,MATCH(アイテムビューア!$C371,T項目!$D:$D,0)),"")</f>
        <v>左底面</v>
      </c>
      <c r="E371" t="str">
        <f>アイテム項目!$A371</f>
        <v>C-030401</v>
      </c>
      <c r="F371" t="str">
        <f>IFERROR(INDEX(C項目!$E:$E,MATCH(アイテムビューア!$E371,C項目!$D:$D,0)),"")</f>
        <v>工具キャリーバッグ（赤黒）</v>
      </c>
      <c r="G371" t="str">
        <f>アイテム項目!$E371</f>
        <v>I-00357</v>
      </c>
      <c r="H371" t="str">
        <f>アイテム項目!$F371</f>
        <v>プリセット型トルクレンチ</v>
      </c>
      <c r="I371" t="str">
        <f>アイテム項目!$G371</f>
        <v>工具</v>
      </c>
      <c r="J371" t="str">
        <f>アイテム項目!$H371</f>
        <v>B</v>
      </c>
      <c r="K371">
        <f>アイテム項目!$I371</f>
        <v>0</v>
      </c>
    </row>
    <row r="372" spans="1:11">
      <c r="A372" t="str">
        <f>IFERROR(INDEX(T項目!$A:$A,MATCH(アイテムビューア!$C372,T項目!$D:$D,0)),"")</f>
        <v>S-003</v>
      </c>
      <c r="B372" t="str">
        <f>IFERROR(INDEX(S項目!$B:$B,MATCH(アイテムビューア!$A372,S項目!$A:$A,0)),"")</f>
        <v>南ラック</v>
      </c>
      <c r="C372" t="str">
        <f>IFERROR(INDEX(C項目!$A:$A,MATCH(アイテムビューア!$E372,C項目!$D:$D,0)),"")</f>
        <v>T-0304</v>
      </c>
      <c r="D372" t="str">
        <f>IFERROR(INDEX(T項目!$E:$E,MATCH(アイテムビューア!$C372,T項目!$D:$D,0)),"")</f>
        <v>左底面</v>
      </c>
      <c r="E372" t="str">
        <f>アイテム項目!$A372</f>
        <v>C-030401</v>
      </c>
      <c r="F372" t="str">
        <f>IFERROR(INDEX(C項目!$E:$E,MATCH(アイテムビューア!$E372,C項目!$D:$D,0)),"")</f>
        <v>工具キャリーバッグ（赤黒）</v>
      </c>
      <c r="G372" t="str">
        <f>アイテム項目!$E372</f>
        <v>I-00358</v>
      </c>
      <c r="H372" t="str">
        <f>アイテム項目!$F372</f>
        <v>トルクレンチ用プラスチックケース 黒</v>
      </c>
      <c r="I372" t="str">
        <f>アイテム項目!$G372</f>
        <v>工具</v>
      </c>
      <c r="J372" t="str">
        <f>アイテム項目!$H372</f>
        <v>B</v>
      </c>
      <c r="K372">
        <f>アイテム項目!$I372</f>
        <v>0</v>
      </c>
    </row>
    <row r="373" spans="1:11">
      <c r="A373" t="str">
        <f>IFERROR(INDEX(T項目!$A:$A,MATCH(アイテムビューア!$C373,T項目!$D:$D,0)),"")</f>
        <v/>
      </c>
      <c r="B373" t="str">
        <f>IFERROR(INDEX(S項目!$B:$B,MATCH(アイテムビューア!$A373,S項目!$A:$A,0)),"")</f>
        <v/>
      </c>
      <c r="C373" t="str">
        <f>IFERROR(INDEX(C項目!$A:$A,MATCH(アイテムビューア!$E373,C項目!$D:$D,0)),"")</f>
        <v/>
      </c>
      <c r="D373" t="str">
        <f>IFERROR(INDEX(T項目!$E:$E,MATCH(アイテムビューア!$C373,T項目!$D:$D,0)),"")</f>
        <v/>
      </c>
      <c r="E373">
        <f>アイテム項目!$A373</f>
        <v>0</v>
      </c>
      <c r="F373" t="str">
        <f>IFERROR(INDEX(C項目!$E:$E,MATCH(アイテムビューア!$E373,C項目!$D:$D,0)),"")</f>
        <v/>
      </c>
      <c r="G373">
        <f>アイテム項目!$E373</f>
        <v>0</v>
      </c>
      <c r="H373">
        <f>アイテム項目!$F373</f>
        <v>0</v>
      </c>
      <c r="I373">
        <f>アイテム項目!$G373</f>
        <v>0</v>
      </c>
      <c r="J373">
        <f>アイテム項目!$H373</f>
        <v>0</v>
      </c>
      <c r="K373">
        <f>アイテム項目!$I373</f>
        <v>0</v>
      </c>
    </row>
    <row r="374" spans="1:11">
      <c r="A374" t="str">
        <f>IFERROR(INDEX(T項目!$A:$A,MATCH(アイテムビューア!$C374,T項目!$D:$D,0)),"")</f>
        <v>S-003</v>
      </c>
      <c r="B374" t="str">
        <f>IFERROR(INDEX(S項目!$B:$B,MATCH(アイテムビューア!$A374,S項目!$A:$A,0)),"")</f>
        <v>南ラック</v>
      </c>
      <c r="C374" t="str">
        <f>IFERROR(INDEX(C項目!$A:$A,MATCH(アイテムビューア!$E374,C項目!$D:$D,0)),"")</f>
        <v>T-0304</v>
      </c>
      <c r="D374" t="str">
        <f>IFERROR(INDEX(T項目!$E:$E,MATCH(アイテムビューア!$C374,T項目!$D:$D,0)),"")</f>
        <v>左底面</v>
      </c>
      <c r="E374" t="str">
        <f>アイテム項目!$A374</f>
        <v>C-030402</v>
      </c>
      <c r="F374" t="str">
        <f>IFERROR(INDEX(C項目!$E:$E,MATCH(アイテムビューア!$E374,C項目!$D:$D,0)),"")</f>
        <v>パーツケース（青蓋）</v>
      </c>
      <c r="G374" t="str">
        <f>アイテム項目!$E374</f>
        <v>I-00359</v>
      </c>
      <c r="H374" t="str">
        <f>アイテム項目!$F374</f>
        <v>精密ニッパー 黄黒</v>
      </c>
      <c r="I374" t="str">
        <f>アイテム項目!$G374</f>
        <v>工具</v>
      </c>
      <c r="J374" t="str">
        <f>アイテム項目!$H374</f>
        <v>B</v>
      </c>
      <c r="K374">
        <f>アイテム項目!$I374</f>
        <v>0</v>
      </c>
    </row>
    <row r="375" spans="1:11">
      <c r="A375" t="str">
        <f>IFERROR(INDEX(T項目!$A:$A,MATCH(アイテムビューア!$C375,T項目!$D:$D,0)),"")</f>
        <v>S-003</v>
      </c>
      <c r="B375" t="str">
        <f>IFERROR(INDEX(S項目!$B:$B,MATCH(アイテムビューア!$A375,S項目!$A:$A,0)),"")</f>
        <v>南ラック</v>
      </c>
      <c r="C375" t="str">
        <f>IFERROR(INDEX(C項目!$A:$A,MATCH(アイテムビューア!$E375,C項目!$D:$D,0)),"")</f>
        <v>T-0304</v>
      </c>
      <c r="D375" t="str">
        <f>IFERROR(INDEX(T項目!$E:$E,MATCH(アイテムビューア!$C375,T項目!$D:$D,0)),"")</f>
        <v>左底面</v>
      </c>
      <c r="E375" t="str">
        <f>アイテム項目!$A375</f>
        <v>C-030402</v>
      </c>
      <c r="F375" t="str">
        <f>IFERROR(INDEX(C項目!$E:$E,MATCH(アイテムビューア!$E375,C項目!$D:$D,0)),"")</f>
        <v>パーツケース（青蓋）</v>
      </c>
      <c r="G375" t="str">
        <f>アイテム項目!$E375</f>
        <v>I-00360</v>
      </c>
      <c r="H375" t="str">
        <f>アイテム項目!$F375</f>
        <v>絶縁ビニールテープ 黒</v>
      </c>
      <c r="I375" t="str">
        <f>アイテム項目!$G375</f>
        <v>工具</v>
      </c>
      <c r="J375" t="str">
        <f>アイテム項目!$H375</f>
        <v>B</v>
      </c>
      <c r="K375">
        <f>アイテム項目!$I375</f>
        <v>0</v>
      </c>
    </row>
    <row r="376" spans="1:11">
      <c r="A376" t="str">
        <f>IFERROR(INDEX(T項目!$A:$A,MATCH(アイテムビューア!$C376,T項目!$D:$D,0)),"")</f>
        <v>S-003</v>
      </c>
      <c r="B376" t="str">
        <f>IFERROR(INDEX(S項目!$B:$B,MATCH(アイテムビューア!$A376,S項目!$A:$A,0)),"")</f>
        <v>南ラック</v>
      </c>
      <c r="C376" t="str">
        <f>IFERROR(INDEX(C項目!$A:$A,MATCH(アイテムビューア!$E376,C項目!$D:$D,0)),"")</f>
        <v>T-0304</v>
      </c>
      <c r="D376" t="str">
        <f>IFERROR(INDEX(T項目!$E:$E,MATCH(アイテムビューア!$C376,T項目!$D:$D,0)),"")</f>
        <v>左底面</v>
      </c>
      <c r="E376" t="str">
        <f>アイテム項目!$A376</f>
        <v>C-030402</v>
      </c>
      <c r="F376" t="str">
        <f>IFERROR(INDEX(C項目!$E:$E,MATCH(アイテムビューア!$E376,C項目!$D:$D,0)),"")</f>
        <v>パーツケース（青蓋）</v>
      </c>
      <c r="G376" t="str">
        <f>アイテム項目!$E376</f>
        <v>I-00361</v>
      </c>
      <c r="H376" t="str">
        <f>アイテム項目!$F376</f>
        <v>ハサミ 緑</v>
      </c>
      <c r="I376" t="str">
        <f>アイテム項目!$G376</f>
        <v>工具</v>
      </c>
      <c r="J376" t="str">
        <f>アイテム項目!$H376</f>
        <v>B</v>
      </c>
      <c r="K376">
        <f>アイテム項目!$I376</f>
        <v>0</v>
      </c>
    </row>
    <row r="377" spans="1:11">
      <c r="A377" t="str">
        <f>IFERROR(INDEX(T項目!$A:$A,MATCH(アイテムビューア!$C377,T項目!$D:$D,0)),"")</f>
        <v>S-003</v>
      </c>
      <c r="B377" t="str">
        <f>IFERROR(INDEX(S項目!$B:$B,MATCH(アイテムビューア!$A377,S項目!$A:$A,0)),"")</f>
        <v>南ラック</v>
      </c>
      <c r="C377" t="str">
        <f>IFERROR(INDEX(C項目!$A:$A,MATCH(アイテムビューア!$E377,C項目!$D:$D,0)),"")</f>
        <v>T-0304</v>
      </c>
      <c r="D377" t="str">
        <f>IFERROR(INDEX(T項目!$E:$E,MATCH(アイテムビューア!$C377,T項目!$D:$D,0)),"")</f>
        <v>左底面</v>
      </c>
      <c r="E377" t="str">
        <f>アイテム項目!$A377</f>
        <v>C-030402</v>
      </c>
      <c r="F377" t="str">
        <f>IFERROR(INDEX(C項目!$E:$E,MATCH(アイテムビューア!$E377,C項目!$D:$D,0)),"")</f>
        <v>パーツケース（青蓋）</v>
      </c>
      <c r="G377" t="str">
        <f>アイテム項目!$E377</f>
        <v>I-00362</v>
      </c>
      <c r="H377" t="str">
        <f>アイテム項目!$F377</f>
        <v>圧着工具プライヤー</v>
      </c>
      <c r="I377" t="str">
        <f>アイテム項目!$G377</f>
        <v>工具</v>
      </c>
      <c r="J377" t="str">
        <f>アイテム項目!$H377</f>
        <v>B</v>
      </c>
      <c r="K377">
        <f>アイテム項目!$I377</f>
        <v>0</v>
      </c>
    </row>
    <row r="378" spans="1:11">
      <c r="A378" t="str">
        <f>IFERROR(INDEX(T項目!$A:$A,MATCH(アイテムビューア!$C378,T項目!$D:$D,0)),"")</f>
        <v>S-003</v>
      </c>
      <c r="B378" t="str">
        <f>IFERROR(INDEX(S項目!$B:$B,MATCH(アイテムビューア!$A378,S項目!$A:$A,0)),"")</f>
        <v>南ラック</v>
      </c>
      <c r="C378" t="str">
        <f>IFERROR(INDEX(C項目!$A:$A,MATCH(アイテムビューア!$E378,C項目!$D:$D,0)),"")</f>
        <v>T-0304</v>
      </c>
      <c r="D378" t="str">
        <f>IFERROR(INDEX(T項目!$E:$E,MATCH(アイテムビューア!$C378,T項目!$D:$D,0)),"")</f>
        <v>左底面</v>
      </c>
      <c r="E378" t="str">
        <f>アイテム項目!$A378</f>
        <v>C-030402</v>
      </c>
      <c r="F378" t="str">
        <f>IFERROR(INDEX(C項目!$E:$E,MATCH(アイテムビューア!$E378,C項目!$D:$D,0)),"")</f>
        <v>パーツケース（青蓋）</v>
      </c>
      <c r="G378" t="str">
        <f>アイテム項目!$E378</f>
        <v>I-00363</v>
      </c>
      <c r="H378" t="str">
        <f>アイテム項目!$F378</f>
        <v>ネジロック剤（瞬間接着剤）チューブ</v>
      </c>
      <c r="I378" t="str">
        <f>アイテム項目!$G378</f>
        <v>工具</v>
      </c>
      <c r="J378" t="str">
        <f>アイテム項目!$H378</f>
        <v>B</v>
      </c>
      <c r="K378">
        <f>アイテム項目!$I378</f>
        <v>0</v>
      </c>
    </row>
    <row r="379" spans="1:11">
      <c r="A379" t="str">
        <f>IFERROR(INDEX(T項目!$A:$A,MATCH(アイテムビューア!$C379,T項目!$D:$D,0)),"")</f>
        <v>S-003</v>
      </c>
      <c r="B379" t="str">
        <f>IFERROR(INDEX(S項目!$B:$B,MATCH(アイテムビューア!$A379,S項目!$A:$A,0)),"")</f>
        <v>南ラック</v>
      </c>
      <c r="C379" t="str">
        <f>IFERROR(INDEX(C項目!$A:$A,MATCH(アイテムビューア!$E379,C項目!$D:$D,0)),"")</f>
        <v>T-0304</v>
      </c>
      <c r="D379" t="str">
        <f>IFERROR(INDEX(T項目!$E:$E,MATCH(アイテムビューア!$C379,T項目!$D:$D,0)),"")</f>
        <v>左底面</v>
      </c>
      <c r="E379" t="str">
        <f>アイテム項目!$A379</f>
        <v>C-030402</v>
      </c>
      <c r="F379" t="str">
        <f>IFERROR(INDEX(C項目!$E:$E,MATCH(アイテムビューア!$E379,C項目!$D:$D,0)),"")</f>
        <v>パーツケース（青蓋）</v>
      </c>
      <c r="G379" t="str">
        <f>アイテム項目!$E379</f>
        <v>I-00364</v>
      </c>
      <c r="H379" t="str">
        <f>アイテム項目!$F379</f>
        <v>ミニカッター 白</v>
      </c>
      <c r="I379" t="str">
        <f>アイテム項目!$G379</f>
        <v>工具</v>
      </c>
      <c r="J379" t="str">
        <f>アイテム項目!$H379</f>
        <v>B</v>
      </c>
      <c r="K379">
        <f>アイテム項目!$I379</f>
        <v>0</v>
      </c>
    </row>
    <row r="380" spans="1:11">
      <c r="A380" t="str">
        <f>IFERROR(INDEX(T項目!$A:$A,MATCH(アイテムビューア!$C380,T項目!$D:$D,0)),"")</f>
        <v>S-003</v>
      </c>
      <c r="B380" t="str">
        <f>IFERROR(INDEX(S項目!$B:$B,MATCH(アイテムビューア!$A380,S項目!$A:$A,0)),"")</f>
        <v>南ラック</v>
      </c>
      <c r="C380" t="str">
        <f>IFERROR(INDEX(C項目!$A:$A,MATCH(アイテムビューア!$E380,C項目!$D:$D,0)),"")</f>
        <v>T-0304</v>
      </c>
      <c r="D380" t="str">
        <f>IFERROR(INDEX(T項目!$E:$E,MATCH(アイテムビューア!$C380,T項目!$D:$D,0)),"")</f>
        <v>左底面</v>
      </c>
      <c r="E380" t="str">
        <f>アイテム項目!$A380</f>
        <v>C-030402</v>
      </c>
      <c r="F380" t="str">
        <f>IFERROR(INDEX(C項目!$E:$E,MATCH(アイテムビューア!$E380,C項目!$D:$D,0)),"")</f>
        <v>パーツケース（青蓋）</v>
      </c>
      <c r="G380" t="str">
        <f>アイテム項目!$E380</f>
        <v>I-00365</v>
      </c>
      <c r="H380" t="str">
        <f>アイテム項目!$F380</f>
        <v>L字六角レンチ・ソケットビット各種</v>
      </c>
      <c r="I380" t="str">
        <f>アイテム項目!$G380</f>
        <v>工具</v>
      </c>
      <c r="J380" t="str">
        <f>アイテム項目!$H380</f>
        <v>B</v>
      </c>
      <c r="K380">
        <f>アイテム項目!$I380</f>
        <v>0</v>
      </c>
    </row>
    <row r="381" spans="1:11">
      <c r="A381" t="str">
        <f>IFERROR(INDEX(T項目!$A:$A,MATCH(アイテムビューア!$C381,T項目!$D:$D,0)),"")</f>
        <v>S-003</v>
      </c>
      <c r="B381" t="str">
        <f>IFERROR(INDEX(S項目!$B:$B,MATCH(アイテムビューア!$A381,S項目!$A:$A,0)),"")</f>
        <v>南ラック</v>
      </c>
      <c r="C381" t="str">
        <f>IFERROR(INDEX(C項目!$A:$A,MATCH(アイテムビューア!$E381,C項目!$D:$D,0)),"")</f>
        <v>T-0304</v>
      </c>
      <c r="D381" t="str">
        <f>IFERROR(INDEX(T項目!$E:$E,MATCH(アイテムビューア!$C381,T項目!$D:$D,0)),"")</f>
        <v>左底面</v>
      </c>
      <c r="E381" t="str">
        <f>アイテム項目!$A381</f>
        <v>C-030402</v>
      </c>
      <c r="F381" t="str">
        <f>IFERROR(INDEX(C項目!$E:$E,MATCH(アイテムビューア!$E381,C項目!$D:$D,0)),"")</f>
        <v>パーツケース（青蓋）</v>
      </c>
      <c r="G381" t="str">
        <f>アイテム項目!$E381</f>
        <v>I-00366</v>
      </c>
      <c r="H381" t="str">
        <f>アイテム項目!$F381</f>
        <v>片口スパナ・両口スパナ各種</v>
      </c>
      <c r="I381" t="str">
        <f>アイテム項目!$G381</f>
        <v>工具</v>
      </c>
      <c r="J381" t="str">
        <f>アイテム項目!$H381</f>
        <v>B</v>
      </c>
      <c r="K381">
        <f>アイテム項目!$I381</f>
        <v>0</v>
      </c>
    </row>
    <row r="382" spans="1:11">
      <c r="A382" t="str">
        <f>IFERROR(INDEX(T項目!$A:$A,MATCH(アイテムビューア!$C382,T項目!$D:$D,0)),"")</f>
        <v>S-003</v>
      </c>
      <c r="B382" t="str">
        <f>IFERROR(INDEX(S項目!$B:$B,MATCH(アイテムビューア!$A382,S項目!$A:$A,0)),"")</f>
        <v>南ラック</v>
      </c>
      <c r="C382" t="str">
        <f>IFERROR(INDEX(C項目!$A:$A,MATCH(アイテムビューア!$E382,C項目!$D:$D,0)),"")</f>
        <v>T-0304</v>
      </c>
      <c r="D382" t="str">
        <f>IFERROR(INDEX(T項目!$E:$E,MATCH(アイテムビューア!$C382,T項目!$D:$D,0)),"")</f>
        <v>左底面</v>
      </c>
      <c r="E382" t="str">
        <f>アイテム項目!$A382</f>
        <v>C-030402</v>
      </c>
      <c r="F382" t="str">
        <f>IFERROR(INDEX(C項目!$E:$E,MATCH(アイテムビューア!$E382,C項目!$D:$D,0)),"")</f>
        <v>パーツケース（青蓋）</v>
      </c>
      <c r="G382" t="str">
        <f>アイテム項目!$E382</f>
        <v>I-00367</v>
      </c>
      <c r="H382" t="str">
        <f>アイテム項目!$F382</f>
        <v>丸型ミニヤスリ</v>
      </c>
      <c r="I382" t="str">
        <f>アイテム項目!$G382</f>
        <v>工具</v>
      </c>
      <c r="J382" t="str">
        <f>アイテム項目!$H382</f>
        <v>B</v>
      </c>
      <c r="K382">
        <f>アイテム項目!$I382</f>
        <v>0</v>
      </c>
    </row>
    <row r="383" spans="1:11">
      <c r="A383" t="str">
        <f>IFERROR(INDEX(T項目!$A:$A,MATCH(アイテムビューア!$C383,T項目!$D:$D,0)),"")</f>
        <v>S-003</v>
      </c>
      <c r="B383" t="str">
        <f>IFERROR(INDEX(S項目!$B:$B,MATCH(アイテムビューア!$A383,S項目!$A:$A,0)),"")</f>
        <v>南ラック</v>
      </c>
      <c r="C383" t="str">
        <f>IFERROR(INDEX(C項目!$A:$A,MATCH(アイテムビューア!$E383,C項目!$D:$D,0)),"")</f>
        <v>T-0304</v>
      </c>
      <c r="D383" t="str">
        <f>IFERROR(INDEX(T項目!$E:$E,MATCH(アイテムビューア!$C383,T項目!$D:$D,0)),"")</f>
        <v>左底面</v>
      </c>
      <c r="E383" t="str">
        <f>アイテム項目!$A383</f>
        <v>C-030402</v>
      </c>
      <c r="F383" t="str">
        <f>IFERROR(INDEX(C項目!$E:$E,MATCH(アイテムビューア!$E383,C項目!$D:$D,0)),"")</f>
        <v>パーツケース（青蓋）</v>
      </c>
      <c r="G383" t="str">
        <f>アイテム項目!$E383</f>
        <v>I-00368</v>
      </c>
      <c r="H383" t="str">
        <f>アイテム項目!$F383</f>
        <v>ミニ切断砥石・軸付パーツ</v>
      </c>
      <c r="I383" t="str">
        <f>アイテム項目!$G383</f>
        <v>工具</v>
      </c>
      <c r="J383" t="str">
        <f>アイテム項目!$H383</f>
        <v>B</v>
      </c>
      <c r="K383">
        <f>アイテム項目!$I383</f>
        <v>0</v>
      </c>
    </row>
    <row r="384" spans="1:11">
      <c r="A384" t="str">
        <f>IFERROR(INDEX(T項目!$A:$A,MATCH(アイテムビューア!$C384,T項目!$D:$D,0)),"")</f>
        <v>S-003</v>
      </c>
      <c r="B384" t="str">
        <f>IFERROR(INDEX(S項目!$B:$B,MATCH(アイテムビューア!$A384,S項目!$A:$A,0)),"")</f>
        <v>南ラック</v>
      </c>
      <c r="C384" t="str">
        <f>IFERROR(INDEX(C項目!$A:$A,MATCH(アイテムビューア!$E384,C項目!$D:$D,0)),"")</f>
        <v>T-0304</v>
      </c>
      <c r="D384" t="str">
        <f>IFERROR(INDEX(T項目!$E:$E,MATCH(アイテムビューア!$C384,T項目!$D:$D,0)),"")</f>
        <v>左底面</v>
      </c>
      <c r="E384" t="str">
        <f>アイテム項目!$A384</f>
        <v>C-030402</v>
      </c>
      <c r="F384" t="str">
        <f>IFERROR(INDEX(C項目!$E:$E,MATCH(アイテムビューア!$E384,C項目!$D:$D,0)),"")</f>
        <v>パーツケース（青蓋）</v>
      </c>
      <c r="G384" t="str">
        <f>アイテム項目!$E384</f>
        <v>I-00369</v>
      </c>
      <c r="H384" t="str">
        <f>アイテム項目!$F384</f>
        <v>差し替え精密ドライバー 黒</v>
      </c>
      <c r="I384" t="str">
        <f>アイテム項目!$G384</f>
        <v>工具</v>
      </c>
      <c r="J384" t="str">
        <f>アイテム項目!$H384</f>
        <v>B</v>
      </c>
      <c r="K384">
        <f>アイテム項目!$I384</f>
        <v>0</v>
      </c>
    </row>
    <row r="385" spans="1:11">
      <c r="A385" t="str">
        <f>IFERROR(INDEX(T項目!$A:$A,MATCH(アイテムビューア!$C385,T項目!$D:$D,0)),"")</f>
        <v>S-003</v>
      </c>
      <c r="B385" t="str">
        <f>IFERROR(INDEX(S項目!$B:$B,MATCH(アイテムビューア!$A385,S項目!$A:$A,0)),"")</f>
        <v>南ラック</v>
      </c>
      <c r="C385" t="str">
        <f>IFERROR(INDEX(C項目!$A:$A,MATCH(アイテムビューア!$E385,C項目!$D:$D,0)),"")</f>
        <v>T-0304</v>
      </c>
      <c r="D385" t="str">
        <f>IFERROR(INDEX(T項目!$E:$E,MATCH(アイテムビューア!$C385,T項目!$D:$D,0)),"")</f>
        <v>左底面</v>
      </c>
      <c r="E385" t="str">
        <f>アイテム項目!$A385</f>
        <v>C-030402</v>
      </c>
      <c r="F385" t="str">
        <f>IFERROR(INDEX(C項目!$E:$E,MATCH(アイテムビューア!$E385,C項目!$D:$D,0)),"")</f>
        <v>パーツケース（青蓋）</v>
      </c>
      <c r="G385" t="str">
        <f>アイテム項目!$E385</f>
        <v>I-00370</v>
      </c>
      <c r="H385" t="str">
        <f>アイテム項目!$F385</f>
        <v>サンドペーパー各種</v>
      </c>
      <c r="I385" t="str">
        <f>アイテム項目!$G385</f>
        <v>工具</v>
      </c>
      <c r="J385" t="str">
        <f>アイテム項目!$H385</f>
        <v>B</v>
      </c>
      <c r="K385">
        <f>アイテム項目!$I385</f>
        <v>0</v>
      </c>
    </row>
    <row r="386" spans="1:11">
      <c r="A386" t="str">
        <f>IFERROR(INDEX(T項目!$A:$A,MATCH(アイテムビューア!$C386,T項目!$D:$D,0)),"")</f>
        <v>S-003</v>
      </c>
      <c r="B386" t="str">
        <f>IFERROR(INDEX(S項目!$B:$B,MATCH(アイテムビューア!$A386,S項目!$A:$A,0)),"")</f>
        <v>南ラック</v>
      </c>
      <c r="C386" t="str">
        <f>IFERROR(INDEX(C項目!$A:$A,MATCH(アイテムビューア!$E386,C項目!$D:$D,0)),"")</f>
        <v>T-0304</v>
      </c>
      <c r="D386" t="str">
        <f>IFERROR(INDEX(T項目!$E:$E,MATCH(アイテムビューア!$C386,T項目!$D:$D,0)),"")</f>
        <v>左底面</v>
      </c>
      <c r="E386" t="str">
        <f>アイテム項目!$A386</f>
        <v>C-030402</v>
      </c>
      <c r="F386" t="str">
        <f>IFERROR(INDEX(C項目!$E:$E,MATCH(アイテムビューア!$E386,C項目!$D:$D,0)),"")</f>
        <v>パーツケース（青蓋）</v>
      </c>
      <c r="G386" t="str">
        <f>アイテム項目!$E386</f>
        <v>I-00371</v>
      </c>
      <c r="H386" t="str">
        <f>アイテム項目!$F386</f>
        <v>アルミ針金（巻）</v>
      </c>
      <c r="I386" t="str">
        <f>アイテム項目!$G386</f>
        <v>工具</v>
      </c>
      <c r="J386" t="str">
        <f>アイテム項目!$H386</f>
        <v>B</v>
      </c>
      <c r="K386">
        <f>アイテム項目!$I386</f>
        <v>0</v>
      </c>
    </row>
    <row r="387" spans="1:11">
      <c r="A387" t="str">
        <f>IFERROR(INDEX(T項目!$A:$A,MATCH(アイテムビューア!$C387,T項目!$D:$D,0)),"")</f>
        <v>S-003</v>
      </c>
      <c r="B387" t="str">
        <f>IFERROR(INDEX(S項目!$B:$B,MATCH(アイテムビューア!$A387,S項目!$A:$A,0)),"")</f>
        <v>南ラック</v>
      </c>
      <c r="C387" t="str">
        <f>IFERROR(INDEX(C項目!$A:$A,MATCH(アイテムビューア!$E387,C項目!$D:$D,0)),"")</f>
        <v>T-0304</v>
      </c>
      <c r="D387" t="str">
        <f>IFERROR(INDEX(T項目!$E:$E,MATCH(アイテムビューア!$C387,T項目!$D:$D,0)),"")</f>
        <v>左底面</v>
      </c>
      <c r="E387" t="str">
        <f>アイテム項目!$A387</f>
        <v>C-030402</v>
      </c>
      <c r="F387" t="str">
        <f>IFERROR(INDEX(C項目!$E:$E,MATCH(アイテムビューア!$E387,C項目!$D:$D,0)),"")</f>
        <v>パーツケース（青蓋）</v>
      </c>
      <c r="G387" t="str">
        <f>アイテム項目!$E387</f>
        <v>I-00372</v>
      </c>
      <c r="H387" t="str">
        <f>アイテム項目!$F387</f>
        <v>スナップリングプライヤー 黒</v>
      </c>
      <c r="I387" t="str">
        <f>アイテム項目!$G387</f>
        <v>工具</v>
      </c>
      <c r="J387" t="str">
        <f>アイテム項目!$H387</f>
        <v>B</v>
      </c>
      <c r="K387">
        <f>アイテム項目!$I387</f>
        <v>0</v>
      </c>
    </row>
    <row r="388" spans="1:11">
      <c r="A388" t="str">
        <f>IFERROR(INDEX(T項目!$A:$A,MATCH(アイテムビューア!$C388,T項目!$D:$D,0)),"")</f>
        <v>S-003</v>
      </c>
      <c r="B388" t="str">
        <f>IFERROR(INDEX(S項目!$B:$B,MATCH(アイテムビューア!$A388,S項目!$A:$A,0)),"")</f>
        <v>南ラック</v>
      </c>
      <c r="C388" t="str">
        <f>IFERROR(INDEX(C項目!$A:$A,MATCH(アイテムビューア!$E388,C項目!$D:$D,0)),"")</f>
        <v>T-0304</v>
      </c>
      <c r="D388" t="str">
        <f>IFERROR(INDEX(T項目!$E:$E,MATCH(アイテムビューア!$C388,T項目!$D:$D,0)),"")</f>
        <v>左底面</v>
      </c>
      <c r="E388" t="str">
        <f>アイテム項目!$A388</f>
        <v>C-030402</v>
      </c>
      <c r="F388" t="str">
        <f>IFERROR(INDEX(C項目!$E:$E,MATCH(アイテムビューア!$E388,C項目!$D:$D,0)),"")</f>
        <v>パーツケース（青蓋）</v>
      </c>
      <c r="G388" t="str">
        <f>アイテム項目!$E388</f>
        <v>I-00373</v>
      </c>
      <c r="H388" t="str">
        <f>アイテム項目!$F388</f>
        <v>六角レンチ棒各種セット（ホルダー入）</v>
      </c>
      <c r="I388" t="str">
        <f>アイテム項目!$G388</f>
        <v>工具</v>
      </c>
      <c r="J388" t="str">
        <f>アイテム項目!$H388</f>
        <v>B</v>
      </c>
      <c r="K388">
        <f>アイテム項目!$I388</f>
        <v>0</v>
      </c>
    </row>
    <row r="389" spans="1:11">
      <c r="A389" t="str">
        <f>IFERROR(INDEX(T項目!$A:$A,MATCH(アイテムビューア!$C389,T項目!$D:$D,0)),"")</f>
        <v>S-003</v>
      </c>
      <c r="B389" t="str">
        <f>IFERROR(INDEX(S項目!$B:$B,MATCH(アイテムビューア!$A389,S項目!$A:$A,0)),"")</f>
        <v>南ラック</v>
      </c>
      <c r="C389" t="str">
        <f>IFERROR(INDEX(C項目!$A:$A,MATCH(アイテムビューア!$E389,C項目!$D:$D,0)),"")</f>
        <v>T-0304</v>
      </c>
      <c r="D389" t="str">
        <f>IFERROR(INDEX(T項目!$E:$E,MATCH(アイテムビューア!$C389,T項目!$D:$D,0)),"")</f>
        <v>左底面</v>
      </c>
      <c r="E389" t="str">
        <f>アイテム項目!$A389</f>
        <v>C-030402</v>
      </c>
      <c r="F389" t="str">
        <f>IFERROR(INDEX(C項目!$E:$E,MATCH(アイテムビューア!$E389,C項目!$D:$D,0)),"")</f>
        <v>パーツケース（青蓋）</v>
      </c>
      <c r="G389" t="str">
        <f>アイテム項目!$E389</f>
        <v>I-00374</v>
      </c>
      <c r="H389" t="str">
        <f>アイテム項目!$F389</f>
        <v>両口スパナ（大） 黒</v>
      </c>
      <c r="I389" t="str">
        <f>アイテム項目!$G389</f>
        <v>工具</v>
      </c>
      <c r="J389" t="str">
        <f>アイテム項目!$H389</f>
        <v>B</v>
      </c>
      <c r="K389">
        <f>アイテム項目!$I389</f>
        <v>0</v>
      </c>
    </row>
    <row r="390" spans="1:11">
      <c r="A390" t="str">
        <f>IFERROR(INDEX(T項目!$A:$A,MATCH(アイテムビューア!$C390,T項目!$D:$D,0)),"")</f>
        <v>S-003</v>
      </c>
      <c r="B390" t="str">
        <f>IFERROR(INDEX(S項目!$B:$B,MATCH(アイテムビューア!$A390,S項目!$A:$A,0)),"")</f>
        <v>南ラック</v>
      </c>
      <c r="C390" t="str">
        <f>IFERROR(INDEX(C項目!$A:$A,MATCH(アイテムビューア!$E390,C項目!$D:$D,0)),"")</f>
        <v>T-0304</v>
      </c>
      <c r="D390" t="str">
        <f>IFERROR(INDEX(T項目!$E:$E,MATCH(アイテムビューア!$C390,T項目!$D:$D,0)),"")</f>
        <v>左底面</v>
      </c>
      <c r="E390" t="str">
        <f>アイテム項目!$A390</f>
        <v>C-030402</v>
      </c>
      <c r="F390" t="str">
        <f>IFERROR(INDEX(C項目!$E:$E,MATCH(アイテムビューア!$E390,C項目!$D:$D,0)),"")</f>
        <v>パーツケース（青蓋）</v>
      </c>
      <c r="G390" t="str">
        <f>アイテム項目!$E390</f>
        <v>I-00375</v>
      </c>
      <c r="H390" t="str">
        <f>アイテム項目!$F390</f>
        <v>マイナスドライバー 青白</v>
      </c>
      <c r="I390" t="str">
        <f>アイテム項目!$G390</f>
        <v>工具</v>
      </c>
      <c r="J390" t="str">
        <f>アイテム項目!$H390</f>
        <v>B</v>
      </c>
      <c r="K390">
        <f>アイテム項目!$I390</f>
        <v>0</v>
      </c>
    </row>
    <row r="391" spans="1:11">
      <c r="A391" t="str">
        <f>IFERROR(INDEX(T項目!$A:$A,MATCH(アイテムビューア!$C391,T項目!$D:$D,0)),"")</f>
        <v>S-003</v>
      </c>
      <c r="B391" t="str">
        <f>IFERROR(INDEX(S項目!$B:$B,MATCH(アイテムビューア!$A391,S項目!$A:$A,0)),"")</f>
        <v>南ラック</v>
      </c>
      <c r="C391" t="str">
        <f>IFERROR(INDEX(C項目!$A:$A,MATCH(アイテムビューア!$E391,C項目!$D:$D,0)),"")</f>
        <v>T-0304</v>
      </c>
      <c r="D391" t="str">
        <f>IFERROR(INDEX(T項目!$E:$E,MATCH(アイテムビューア!$C391,T項目!$D:$D,0)),"")</f>
        <v>左底面</v>
      </c>
      <c r="E391" t="str">
        <f>アイテム項目!$A391</f>
        <v>C-030402</v>
      </c>
      <c r="F391" t="str">
        <f>IFERROR(INDEX(C項目!$E:$E,MATCH(アイテムビューア!$E391,C項目!$D:$D,0)),"")</f>
        <v>パーツケース（青蓋）</v>
      </c>
      <c r="G391" t="str">
        <f>アイテム項目!$E391</f>
        <v>I-00376</v>
      </c>
      <c r="H391" t="str">
        <f>アイテム項目!$F391</f>
        <v>貫通ドライバー プラス（大） 赤黒</v>
      </c>
      <c r="I391" t="str">
        <f>アイテム項目!$G391</f>
        <v>工具</v>
      </c>
      <c r="J391" t="str">
        <f>アイテム項目!$H391</f>
        <v>B</v>
      </c>
      <c r="K391">
        <f>アイテム項目!$I391</f>
        <v>0</v>
      </c>
    </row>
    <row r="392" spans="1:11">
      <c r="A392" t="str">
        <f>IFERROR(INDEX(T項目!$A:$A,MATCH(アイテムビューア!$C392,T項目!$D:$D,0)),"")</f>
        <v>S-003</v>
      </c>
      <c r="B392" t="str">
        <f>IFERROR(INDEX(S項目!$B:$B,MATCH(アイテムビューア!$A392,S項目!$A:$A,0)),"")</f>
        <v>南ラック</v>
      </c>
      <c r="C392" t="str">
        <f>IFERROR(INDEX(C項目!$A:$A,MATCH(アイテムビューア!$E392,C項目!$D:$D,0)),"")</f>
        <v>T-0304</v>
      </c>
      <c r="D392" t="str">
        <f>IFERROR(INDEX(T項目!$E:$E,MATCH(アイテムビューア!$C392,T項目!$D:$D,0)),"")</f>
        <v>左底面</v>
      </c>
      <c r="E392" t="str">
        <f>アイテム項目!$A392</f>
        <v>C-030402</v>
      </c>
      <c r="F392" t="str">
        <f>IFERROR(INDEX(C項目!$E:$E,MATCH(アイテムビューア!$E392,C項目!$D:$D,0)),"")</f>
        <v>パーツケース（青蓋）</v>
      </c>
      <c r="G392" t="str">
        <f>アイテム項目!$E392</f>
        <v>I-00377</v>
      </c>
      <c r="H392" t="str">
        <f>アイテム項目!$F392</f>
        <v>精密ドライバー プラス 赤黒</v>
      </c>
      <c r="I392" t="str">
        <f>アイテム項目!$G392</f>
        <v>工具</v>
      </c>
      <c r="J392" t="str">
        <f>アイテム項目!$H392</f>
        <v>B</v>
      </c>
      <c r="K392">
        <f>アイテム項目!$I392</f>
        <v>0</v>
      </c>
    </row>
    <row r="393" spans="1:11">
      <c r="A393" t="str">
        <f>IFERROR(INDEX(T項目!$A:$A,MATCH(アイテムビューア!$C393,T項目!$D:$D,0)),"")</f>
        <v>S-003</v>
      </c>
      <c r="B393" t="str">
        <f>IFERROR(INDEX(S項目!$B:$B,MATCH(アイテムビューア!$A393,S項目!$A:$A,0)),"")</f>
        <v>南ラック</v>
      </c>
      <c r="C393" t="str">
        <f>IFERROR(INDEX(C項目!$A:$A,MATCH(アイテムビューア!$E393,C項目!$D:$D,0)),"")</f>
        <v>T-0304</v>
      </c>
      <c r="D393" t="str">
        <f>IFERROR(INDEX(T項目!$E:$E,MATCH(アイテムビューア!$C393,T項目!$D:$D,0)),"")</f>
        <v>左底面</v>
      </c>
      <c r="E393" t="str">
        <f>アイテム項目!$A393</f>
        <v>C-030402</v>
      </c>
      <c r="F393" t="str">
        <f>IFERROR(INDEX(C項目!$E:$E,MATCH(アイテムビューア!$E393,C項目!$D:$D,0)),"")</f>
        <v>パーツケース（青蓋）</v>
      </c>
      <c r="G393" t="str">
        <f>アイテム項目!$E393</f>
        <v>I-00378</v>
      </c>
      <c r="H393" t="str">
        <f>アイテム項目!$F393</f>
        <v>ドライバー マイナス 赤黒</v>
      </c>
      <c r="I393" t="str">
        <f>アイテム項目!$G393</f>
        <v>工具</v>
      </c>
      <c r="J393" t="str">
        <f>アイテム項目!$H393</f>
        <v>B</v>
      </c>
      <c r="K393">
        <f>アイテム項目!$I393</f>
        <v>0</v>
      </c>
    </row>
    <row r="394" spans="1:11">
      <c r="A394" t="str">
        <f>IFERROR(INDEX(T項目!$A:$A,MATCH(アイテムビューア!$C394,T項目!$D:$D,0)),"")</f>
        <v>S-003</v>
      </c>
      <c r="B394" t="str">
        <f>IFERROR(INDEX(S項目!$B:$B,MATCH(アイテムビューア!$A394,S項目!$A:$A,0)),"")</f>
        <v>南ラック</v>
      </c>
      <c r="C394" t="str">
        <f>IFERROR(INDEX(C項目!$A:$A,MATCH(アイテムビューア!$E394,C項目!$D:$D,0)),"")</f>
        <v>T-0304</v>
      </c>
      <c r="D394" t="str">
        <f>IFERROR(INDEX(T項目!$E:$E,MATCH(アイテムビューア!$C394,T項目!$D:$D,0)),"")</f>
        <v>左底面</v>
      </c>
      <c r="E394" t="str">
        <f>アイテム項目!$A394</f>
        <v>C-030402</v>
      </c>
      <c r="F394" t="str">
        <f>IFERROR(INDEX(C項目!$E:$E,MATCH(アイテムビューア!$E394,C項目!$D:$D,0)),"")</f>
        <v>パーツケース（青蓋）</v>
      </c>
      <c r="G394" t="str">
        <f>アイテム項目!$E394</f>
        <v>I-00379</v>
      </c>
      <c r="H394" t="str">
        <f>アイテム項目!$F394</f>
        <v>平細ヤスリ オレンジ</v>
      </c>
      <c r="I394" t="str">
        <f>アイテム項目!$G394</f>
        <v>工具</v>
      </c>
      <c r="J394" t="str">
        <f>アイテム項目!$H394</f>
        <v>B</v>
      </c>
      <c r="K394">
        <f>アイテム項目!$I394</f>
        <v>0</v>
      </c>
    </row>
    <row r="395" spans="1:11">
      <c r="A395" t="str">
        <f>IFERROR(INDEX(T項目!$A:$A,MATCH(アイテムビューア!$C395,T項目!$D:$D,0)),"")</f>
        <v>S-003</v>
      </c>
      <c r="B395" t="str">
        <f>IFERROR(INDEX(S項目!$B:$B,MATCH(アイテムビューア!$A395,S項目!$A:$A,0)),"")</f>
        <v>南ラック</v>
      </c>
      <c r="C395" t="str">
        <f>IFERROR(INDEX(C項目!$A:$A,MATCH(アイテムビューア!$E395,C項目!$D:$D,0)),"")</f>
        <v>T-0304</v>
      </c>
      <c r="D395" t="str">
        <f>IFERROR(INDEX(T項目!$E:$E,MATCH(アイテムビューア!$C395,T項目!$D:$D,0)),"")</f>
        <v>左底面</v>
      </c>
      <c r="E395" t="str">
        <f>アイテム項目!$A395</f>
        <v>C-030402</v>
      </c>
      <c r="F395" t="str">
        <f>IFERROR(INDEX(C項目!$E:$E,MATCH(アイテムビューア!$E395,C項目!$D:$D,0)),"")</f>
        <v>パーツケース（青蓋）</v>
      </c>
      <c r="G395" t="str">
        <f>アイテム項目!$E395</f>
        <v>I-00380</v>
      </c>
      <c r="H395" t="str">
        <f>アイテム項目!$F395</f>
        <v>モンキーレンチ（中） シルバー</v>
      </c>
      <c r="I395" t="str">
        <f>アイテム項目!$G395</f>
        <v>工具</v>
      </c>
      <c r="J395" t="str">
        <f>アイテム項目!$H395</f>
        <v>B</v>
      </c>
      <c r="K395">
        <f>アイテム項目!$I395</f>
        <v>0</v>
      </c>
    </row>
    <row r="396" spans="1:11">
      <c r="A396" t="str">
        <f>IFERROR(INDEX(T項目!$A:$A,MATCH(アイテムビューア!$C396,T項目!$D:$D,0)),"")</f>
        <v>S-003</v>
      </c>
      <c r="B396" t="str">
        <f>IFERROR(INDEX(S項目!$B:$B,MATCH(アイテムビューア!$A396,S項目!$A:$A,0)),"")</f>
        <v>南ラック</v>
      </c>
      <c r="C396" t="str">
        <f>IFERROR(INDEX(C項目!$A:$A,MATCH(アイテムビューア!$E396,C項目!$D:$D,0)),"")</f>
        <v>T-0304</v>
      </c>
      <c r="D396" t="str">
        <f>IFERROR(INDEX(T項目!$E:$E,MATCH(アイテムビューア!$C396,T項目!$D:$D,0)),"")</f>
        <v>左底面</v>
      </c>
      <c r="E396" t="str">
        <f>アイテム項目!$A396</f>
        <v>C-030402</v>
      </c>
      <c r="F396" t="str">
        <f>IFERROR(INDEX(C項目!$E:$E,MATCH(アイテムビューア!$E396,C項目!$D:$D,0)),"")</f>
        <v>パーツケース（青蓋）</v>
      </c>
      <c r="G396" t="str">
        <f>アイテム項目!$E396</f>
        <v>I-00381</v>
      </c>
      <c r="H396" t="str">
        <f>アイテム項目!$F396</f>
        <v>両口メガネレンチ（小） 5.5×7</v>
      </c>
      <c r="I396" t="str">
        <f>アイテム項目!$G396</f>
        <v>工具</v>
      </c>
      <c r="J396" t="str">
        <f>アイテム項目!$H396</f>
        <v>B</v>
      </c>
      <c r="K396">
        <f>アイテム項目!$I396</f>
        <v>0</v>
      </c>
    </row>
    <row r="397" spans="1:11">
      <c r="A397" t="str">
        <f>IFERROR(INDEX(T項目!$A:$A,MATCH(アイテムビューア!$C397,T項目!$D:$D,0)),"")</f>
        <v>S-003</v>
      </c>
      <c r="B397" t="str">
        <f>IFERROR(INDEX(S項目!$B:$B,MATCH(アイテムビューア!$A397,S項目!$A:$A,0)),"")</f>
        <v>南ラック</v>
      </c>
      <c r="C397" t="str">
        <f>IFERROR(INDEX(C項目!$A:$A,MATCH(アイテムビューア!$E397,C項目!$D:$D,0)),"")</f>
        <v>T-0304</v>
      </c>
      <c r="D397" t="str">
        <f>IFERROR(INDEX(T項目!$E:$E,MATCH(アイテムビューア!$C397,T項目!$D:$D,0)),"")</f>
        <v>左底面</v>
      </c>
      <c r="E397" t="str">
        <f>アイテム項目!$A397</f>
        <v>C-030402</v>
      </c>
      <c r="F397" t="str">
        <f>IFERROR(INDEX(C項目!$E:$E,MATCH(アイテムビューア!$E397,C項目!$D:$D,0)),"")</f>
        <v>パーツケース（青蓋）</v>
      </c>
      <c r="G397" t="str">
        <f>アイテム項目!$E397</f>
        <v>I-00382</v>
      </c>
      <c r="H397" t="str">
        <f>アイテム項目!$F397</f>
        <v>両口メガネレンチ（中）</v>
      </c>
      <c r="I397" t="str">
        <f>アイテム項目!$G397</f>
        <v>工具</v>
      </c>
      <c r="J397" t="str">
        <f>アイテム項目!$H397</f>
        <v>B</v>
      </c>
      <c r="K397">
        <f>アイテム項目!$I397</f>
        <v>0</v>
      </c>
    </row>
    <row r="398" spans="1:11">
      <c r="A398" t="str">
        <f>IFERROR(INDEX(T項目!$A:$A,MATCH(アイテムビューア!$C398,T項目!$D:$D,0)),"")</f>
        <v>S-003</v>
      </c>
      <c r="B398" t="str">
        <f>IFERROR(INDEX(S項目!$B:$B,MATCH(アイテムビューア!$A398,S項目!$A:$A,0)),"")</f>
        <v>南ラック</v>
      </c>
      <c r="C398" t="str">
        <f>IFERROR(INDEX(C項目!$A:$A,MATCH(アイテムビューア!$E398,C項目!$D:$D,0)),"")</f>
        <v>T-0304</v>
      </c>
      <c r="D398" t="str">
        <f>IFERROR(INDEX(T項目!$E:$E,MATCH(アイテムビューア!$C398,T項目!$D:$D,0)),"")</f>
        <v>左底面</v>
      </c>
      <c r="E398" t="str">
        <f>アイテム項目!$A398</f>
        <v>C-030402</v>
      </c>
      <c r="F398" t="str">
        <f>IFERROR(INDEX(C項目!$E:$E,MATCH(アイテムビューア!$E398,C項目!$D:$D,0)),"")</f>
        <v>パーツケース（青蓋）</v>
      </c>
      <c r="G398" t="str">
        <f>アイテム項目!$E398</f>
        <v>I-00383</v>
      </c>
      <c r="H398" t="str">
        <f>アイテム項目!$F398</f>
        <v>モーターレンチ（フックレンチ風）</v>
      </c>
      <c r="I398" t="str">
        <f>アイテム項目!$G398</f>
        <v>工具</v>
      </c>
      <c r="J398" t="str">
        <f>アイテム項目!$H398</f>
        <v>B</v>
      </c>
      <c r="K398">
        <f>アイテム項目!$I398</f>
        <v>0</v>
      </c>
    </row>
    <row r="399" spans="1:11">
      <c r="A399" t="str">
        <f>IFERROR(INDEX(T項目!$A:$A,MATCH(アイテムビューア!$C399,T項目!$D:$D,0)),"")</f>
        <v>S-003</v>
      </c>
      <c r="B399" t="str">
        <f>IFERROR(INDEX(S項目!$B:$B,MATCH(アイテムビューア!$A399,S項目!$A:$A,0)),"")</f>
        <v>南ラック</v>
      </c>
      <c r="C399" t="str">
        <f>IFERROR(INDEX(C項目!$A:$A,MATCH(アイテムビューア!$E399,C項目!$D:$D,0)),"")</f>
        <v>T-0304</v>
      </c>
      <c r="D399" t="str">
        <f>IFERROR(INDEX(T項目!$E:$E,MATCH(アイテムビューア!$C399,T項目!$D:$D,0)),"")</f>
        <v>左底面</v>
      </c>
      <c r="E399" t="str">
        <f>アイテム項目!$A399</f>
        <v>C-030402</v>
      </c>
      <c r="F399" t="str">
        <f>IFERROR(INDEX(C項目!$E:$E,MATCH(アイテムビューア!$E399,C項目!$D:$D,0)),"")</f>
        <v>パーツケース（青蓋）</v>
      </c>
      <c r="G399" t="str">
        <f>アイテム項目!$E399</f>
        <v>I-00384</v>
      </c>
      <c r="H399" t="str">
        <f>アイテム項目!$F399</f>
        <v>Cordless Screwdriver 電動ドライバーセット（白黒・ケース入）</v>
      </c>
      <c r="I399" t="str">
        <f>アイテム項目!$G399</f>
        <v>工具</v>
      </c>
      <c r="J399" t="str">
        <f>アイテム項目!$H399</f>
        <v>B</v>
      </c>
      <c r="K399">
        <f>アイテム項目!$I399</f>
        <v>0</v>
      </c>
    </row>
    <row r="400" spans="1:11">
      <c r="A400" t="str">
        <f>IFERROR(INDEX(T項目!$A:$A,MATCH(アイテムビューア!$C400,T項目!$D:$D,0)),"")</f>
        <v>S-003</v>
      </c>
      <c r="B400" t="str">
        <f>IFERROR(INDEX(S項目!$B:$B,MATCH(アイテムビューア!$A400,S項目!$A:$A,0)),"")</f>
        <v>南ラック</v>
      </c>
      <c r="C400" t="str">
        <f>IFERROR(INDEX(C項目!$A:$A,MATCH(アイテムビューア!$E400,C項目!$D:$D,0)),"")</f>
        <v>T-0303</v>
      </c>
      <c r="D400" t="str">
        <f>IFERROR(INDEX(T項目!$E:$E,MATCH(アイテムビューア!$C400,T項目!$D:$D,0)),"")</f>
        <v>中央スチール棚</v>
      </c>
      <c r="E400" t="str">
        <f>アイテム項目!$A400</f>
        <v>C-030304</v>
      </c>
      <c r="F400" t="str">
        <f>IFERROR(INDEX(C項目!$E:$E,MATCH(アイテムビューア!$E400,C項目!$D:$D,0)),"")</f>
        <v>SNOOPYミニトート・工具ケース</v>
      </c>
      <c r="G400" t="str">
        <f>アイテム項目!$E400</f>
        <v>I-00385</v>
      </c>
      <c r="H400" t="str">
        <f>アイテム項目!$F400</f>
        <v>交換用バックル（ジーンズ用）</v>
      </c>
      <c r="I400" t="str">
        <f>アイテム項目!$G400</f>
        <v>雑貨</v>
      </c>
      <c r="J400" t="str">
        <f>アイテム項目!$H400</f>
        <v>B</v>
      </c>
      <c r="K400" t="str">
        <f>アイテム項目!$I400</f>
        <v>気に入った革ベルトが見つかるまで保留、未使用</v>
      </c>
    </row>
    <row r="401" spans="1:11">
      <c r="A401" t="str">
        <f>IFERROR(INDEX(T項目!$A:$A,MATCH(アイテムビューア!$C401,T項目!$D:$D,0)),"")</f>
        <v/>
      </c>
      <c r="B401" t="str">
        <f>IFERROR(INDEX(S項目!$B:$B,MATCH(アイテムビューア!$A401,S項目!$A:$A,0)),"")</f>
        <v/>
      </c>
      <c r="C401" t="str">
        <f>IFERROR(INDEX(C項目!$A:$A,MATCH(アイテムビューア!$E401,C項目!$D:$D,0)),"")</f>
        <v/>
      </c>
      <c r="D401" t="str">
        <f>IFERROR(INDEX(T項目!$E:$E,MATCH(アイテムビューア!$C401,T項目!$D:$D,0)),"")</f>
        <v/>
      </c>
      <c r="E401">
        <f>アイテム項目!$A401</f>
        <v>0</v>
      </c>
      <c r="F401" t="str">
        <f>IFERROR(INDEX(C項目!$E:$E,MATCH(アイテムビューア!$E401,C項目!$D:$D,0)),"")</f>
        <v/>
      </c>
      <c r="G401">
        <f>アイテム項目!$E401</f>
        <v>0</v>
      </c>
      <c r="H401">
        <f>アイテム項目!$F401</f>
        <v>0</v>
      </c>
      <c r="I401">
        <f>アイテム項目!$G401</f>
        <v>0</v>
      </c>
      <c r="J401">
        <f>アイテム項目!$H401</f>
        <v>0</v>
      </c>
      <c r="K401">
        <f>アイテム項目!$I401</f>
        <v>0</v>
      </c>
    </row>
    <row r="402" spans="1:11">
      <c r="A402" t="str">
        <f>IFERROR(INDEX(T項目!$A:$A,MATCH(アイテムビューア!$C402,T項目!$D:$D,0)),"")</f>
        <v/>
      </c>
      <c r="B402" t="str">
        <f>IFERROR(INDEX(S項目!$B:$B,MATCH(アイテムビューア!$A402,S項目!$A:$A,0)),"")</f>
        <v/>
      </c>
      <c r="C402" t="str">
        <f>IFERROR(INDEX(C項目!$A:$A,MATCH(アイテムビューア!$E402,C項目!$D:$D,0)),"")</f>
        <v/>
      </c>
      <c r="D402" t="str">
        <f>IFERROR(INDEX(T項目!$E:$E,MATCH(アイテムビューア!$C402,T項目!$D:$D,0)),"")</f>
        <v/>
      </c>
      <c r="E402" t="str">
        <f>アイテム項目!$A402</f>
        <v>T-0306</v>
      </c>
      <c r="F402" t="str">
        <f>IFERROR(INDEX(C項目!$E:$E,MATCH(アイテムビューア!$E402,C項目!$D:$D,0)),"")</f>
        <v/>
      </c>
      <c r="G402" t="str">
        <f>アイテム項目!$E402</f>
        <v>I-00386</v>
      </c>
      <c r="H402" t="str">
        <f>アイテム項目!$F402</f>
        <v>SZ 接眼レンズ 補助レンズ　プレート</v>
      </c>
      <c r="I402">
        <f>アイテム項目!$G402</f>
        <v>0</v>
      </c>
      <c r="J402">
        <f>アイテム項目!$H402</f>
        <v>0</v>
      </c>
      <c r="K402">
        <f>アイテム項目!$I402</f>
        <v>0</v>
      </c>
    </row>
    <row r="403" spans="1:11">
      <c r="A403" t="str">
        <f>IFERROR(INDEX(T項目!$A:$A,MATCH(アイテムビューア!$C403,T項目!$D:$D,0)),"")</f>
        <v>S-003</v>
      </c>
      <c r="B403" t="str">
        <f>IFERROR(INDEX(S項目!$B:$B,MATCH(アイテムビューア!$A403,S項目!$A:$A,0)),"")</f>
        <v>南ラック</v>
      </c>
      <c r="C403" t="str">
        <f>IFERROR(INDEX(C項目!$A:$A,MATCH(アイテムビューア!$E403,C項目!$D:$D,0)),"")</f>
        <v>T-0304</v>
      </c>
      <c r="D403" t="str">
        <f>IFERROR(INDEX(T項目!$E:$E,MATCH(アイテムビューア!$C403,T項目!$D:$D,0)),"")</f>
        <v>左底面</v>
      </c>
      <c r="E403" t="str">
        <f>アイテム項目!$A403</f>
        <v>C-030401</v>
      </c>
      <c r="F403" t="str">
        <f>IFERROR(INDEX(C項目!$E:$E,MATCH(アイテムビューア!$E403,C項目!$D:$D,0)),"")</f>
        <v>工具キャリーバッグ（赤黒）</v>
      </c>
      <c r="G403" t="str">
        <f>アイテム項目!$E403</f>
        <v>I-00387</v>
      </c>
      <c r="H403" t="str">
        <f>アイテム項目!$F403</f>
        <v>電動ドライバ（ミニ）</v>
      </c>
      <c r="I403" t="str">
        <f>アイテム項目!$G403</f>
        <v>ドライバ</v>
      </c>
      <c r="J403" t="str">
        <f>アイテム項目!$H403</f>
        <v>B</v>
      </c>
      <c r="K403" t="str">
        <f>アイテム項目!$I403</f>
        <v>小さい電動ドライバ</v>
      </c>
    </row>
    <row r="404" spans="1:11">
      <c r="A404" t="str">
        <f>IFERROR(INDEX(T項目!$A:$A,MATCH(アイテムビューア!$C404,T項目!$D:$D,0)),"")</f>
        <v/>
      </c>
      <c r="B404" t="str">
        <f>IFERROR(INDEX(S項目!$B:$B,MATCH(アイテムビューア!$A404,S項目!$A:$A,0)),"")</f>
        <v/>
      </c>
      <c r="C404" t="str">
        <f>IFERROR(INDEX(C項目!$A:$A,MATCH(アイテムビューア!$E404,C項目!$D:$D,0)),"")</f>
        <v/>
      </c>
      <c r="D404" t="str">
        <f>IFERROR(INDEX(T項目!$E:$E,MATCH(アイテムビューア!$C404,T項目!$D:$D,0)),"")</f>
        <v/>
      </c>
      <c r="E404">
        <f>アイテム項目!$A404</f>
        <v>0</v>
      </c>
      <c r="F404" t="str">
        <f>IFERROR(INDEX(C項目!$E:$E,MATCH(アイテムビューア!$E404,C項目!$D:$D,0)),"")</f>
        <v/>
      </c>
      <c r="G404">
        <f>アイテム項目!$E404</f>
        <v>0</v>
      </c>
      <c r="H404" t="e">
        <f>アイテム項目!#REF!</f>
        <v>#REF!</v>
      </c>
      <c r="I404">
        <f>アイテム項目!$G404</f>
        <v>0</v>
      </c>
      <c r="J404">
        <f>アイテム項目!$H404</f>
        <v>0</v>
      </c>
      <c r="K404">
        <f>アイテム項目!$I404</f>
        <v>0</v>
      </c>
    </row>
    <row r="405" spans="1:11">
      <c r="A405" t="str">
        <f>IFERROR(INDEX(T項目!$A:$A,MATCH(アイテムビューア!$C405,T項目!$D:$D,0)),"")</f>
        <v/>
      </c>
      <c r="B405" t="str">
        <f>IFERROR(INDEX(S項目!$B:$B,MATCH(アイテムビューア!$A405,S項目!$A:$A,0)),"")</f>
        <v/>
      </c>
      <c r="C405" t="str">
        <f>IFERROR(INDEX(C項目!$A:$A,MATCH(アイテムビューア!$E405,C項目!$D:$D,0)),"")</f>
        <v/>
      </c>
      <c r="D405" t="str">
        <f>IFERROR(INDEX(T項目!$E:$E,MATCH(アイテムビューア!$C405,T項目!$D:$D,0)),"")</f>
        <v/>
      </c>
      <c r="E405">
        <f>アイテム項目!$A405</f>
        <v>0</v>
      </c>
      <c r="F405" t="str">
        <f>IFERROR(INDEX(C項目!$E:$E,MATCH(アイテムビューア!$E405,C項目!$D:$D,0)),"")</f>
        <v/>
      </c>
      <c r="G405">
        <f>アイテム項目!$E405</f>
        <v>0</v>
      </c>
      <c r="H405">
        <f>アイテム項目!$F405</f>
        <v>0</v>
      </c>
      <c r="I405">
        <f>アイテム項目!$G405</f>
        <v>0</v>
      </c>
      <c r="J405">
        <f>アイテム項目!$H405</f>
        <v>0</v>
      </c>
      <c r="K405">
        <f>アイテム項目!$I405</f>
        <v>0</v>
      </c>
    </row>
    <row r="406" spans="1:11">
      <c r="A406" t="str">
        <f>IFERROR(INDEX(T項目!$A:$A,MATCH(アイテムビューア!$C406,T項目!$D:$D,0)),"")</f>
        <v/>
      </c>
      <c r="B406" t="str">
        <f>IFERROR(INDEX(S項目!$B:$B,MATCH(アイテムビューア!$A406,S項目!$A:$A,0)),"")</f>
        <v/>
      </c>
      <c r="C406" t="str">
        <f>IFERROR(INDEX(C項目!$A:$A,MATCH(アイテムビューア!$E406,C項目!$D:$D,0)),"")</f>
        <v/>
      </c>
      <c r="D406" t="str">
        <f>IFERROR(INDEX(T項目!$E:$E,MATCH(アイテムビューア!$C406,T項目!$D:$D,0)),"")</f>
        <v/>
      </c>
      <c r="E406">
        <f>アイテム項目!$A406</f>
        <v>0</v>
      </c>
      <c r="F406" t="str">
        <f>IFERROR(INDEX(C項目!$E:$E,MATCH(アイテムビューア!$E406,C項目!$D:$D,0)),"")</f>
        <v/>
      </c>
      <c r="G406">
        <f>アイテム項目!$E406</f>
        <v>0</v>
      </c>
      <c r="H406">
        <f>アイテム項目!$F406</f>
        <v>0</v>
      </c>
      <c r="I406">
        <f>アイテム項目!$G406</f>
        <v>0</v>
      </c>
      <c r="J406">
        <f>アイテム項目!$H406</f>
        <v>0</v>
      </c>
      <c r="K406">
        <f>アイテム項目!$I406</f>
        <v>0</v>
      </c>
    </row>
    <row r="407" spans="1:11">
      <c r="A407" t="str">
        <f>IFERROR(INDEX(T項目!$A:$A,MATCH(アイテムビューア!$C407,T項目!$D:$D,0)),"")</f>
        <v/>
      </c>
      <c r="B407" t="str">
        <f>IFERROR(INDEX(S項目!$B:$B,MATCH(アイテムビューア!$A407,S項目!$A:$A,0)),"")</f>
        <v/>
      </c>
      <c r="C407" t="str">
        <f>IFERROR(INDEX(C項目!$A:$A,MATCH(アイテムビューア!$E407,C項目!$D:$D,0)),"")</f>
        <v/>
      </c>
      <c r="D407" t="str">
        <f>IFERROR(INDEX(T項目!$E:$E,MATCH(アイテムビューア!$C407,T項目!$D:$D,0)),"")</f>
        <v/>
      </c>
      <c r="E407">
        <f>アイテム項目!$A407</f>
        <v>0</v>
      </c>
      <c r="F407" t="str">
        <f>IFERROR(INDEX(C項目!$E:$E,MATCH(アイテムビューア!$E407,C項目!$D:$D,0)),"")</f>
        <v/>
      </c>
      <c r="G407">
        <f>アイテム項目!$E407</f>
        <v>0</v>
      </c>
      <c r="H407">
        <f>アイテム項目!$F407</f>
        <v>0</v>
      </c>
      <c r="I407">
        <f>アイテム項目!$G407</f>
        <v>0</v>
      </c>
      <c r="J407">
        <f>アイテム項目!$H407</f>
        <v>0</v>
      </c>
      <c r="K407">
        <f>アイテム項目!$I407</f>
        <v>0</v>
      </c>
    </row>
    <row r="408" spans="1:11">
      <c r="A408" t="str">
        <f>IFERROR(INDEX(T項目!$A:$A,MATCH(アイテムビューア!$C408,T項目!$D:$D,0)),"")</f>
        <v/>
      </c>
      <c r="B408" t="str">
        <f>IFERROR(INDEX(S項目!$B:$B,MATCH(アイテムビューア!$A408,S項目!$A:$A,0)),"")</f>
        <v/>
      </c>
      <c r="C408" t="str">
        <f>IFERROR(INDEX(C項目!$A:$A,MATCH(アイテムビューア!$E408,C項目!$D:$D,0)),"")</f>
        <v/>
      </c>
      <c r="D408" t="str">
        <f>IFERROR(INDEX(T項目!$E:$E,MATCH(アイテムビューア!$C408,T項目!$D:$D,0)),"")</f>
        <v/>
      </c>
      <c r="E408">
        <f>アイテム項目!$A408</f>
        <v>0</v>
      </c>
      <c r="F408" t="str">
        <f>IFERROR(INDEX(C項目!$E:$E,MATCH(アイテムビューア!$E408,C項目!$D:$D,0)),"")</f>
        <v/>
      </c>
      <c r="G408">
        <f>アイテム項目!$E408</f>
        <v>0</v>
      </c>
      <c r="H408">
        <f>アイテム項目!$F408</f>
        <v>0</v>
      </c>
      <c r="I408">
        <f>アイテム項目!$G408</f>
        <v>0</v>
      </c>
      <c r="J408">
        <f>アイテム項目!$H408</f>
        <v>0</v>
      </c>
      <c r="K408">
        <f>アイテム項目!$I408</f>
        <v>0</v>
      </c>
    </row>
    <row r="409" spans="1:11">
      <c r="A409" t="str">
        <f>IFERROR(INDEX(T項目!$A:$A,MATCH(アイテムビューア!$C409,T項目!$D:$D,0)),"")</f>
        <v/>
      </c>
      <c r="B409" t="str">
        <f>IFERROR(INDEX(S項目!$B:$B,MATCH(アイテムビューア!$A409,S項目!$A:$A,0)),"")</f>
        <v/>
      </c>
      <c r="C409" t="str">
        <f>IFERROR(INDEX(C項目!$A:$A,MATCH(アイテムビューア!$E409,C項目!$D:$D,0)),"")</f>
        <v/>
      </c>
      <c r="D409" t="str">
        <f>IFERROR(INDEX(T項目!$E:$E,MATCH(アイテムビューア!$C409,T項目!$D:$D,0)),"")</f>
        <v/>
      </c>
      <c r="E409">
        <f>アイテム項目!$A409</f>
        <v>0</v>
      </c>
      <c r="F409" t="str">
        <f>IFERROR(INDEX(C項目!$E:$E,MATCH(アイテムビューア!$E409,C項目!$D:$D,0)),"")</f>
        <v/>
      </c>
      <c r="G409">
        <f>アイテム項目!$E409</f>
        <v>0</v>
      </c>
      <c r="H409">
        <f>アイテム項目!$F409</f>
        <v>0</v>
      </c>
      <c r="I409">
        <f>アイテム項目!$G409</f>
        <v>0</v>
      </c>
      <c r="J409">
        <f>アイテム項目!$H409</f>
        <v>0</v>
      </c>
      <c r="K409">
        <f>アイテム項目!$I409</f>
        <v>0</v>
      </c>
    </row>
    <row r="410" spans="1:11">
      <c r="A410" t="str">
        <f>IFERROR(INDEX(T項目!$A:$A,MATCH(アイテムビューア!$C410,T項目!$D:$D,0)),"")</f>
        <v/>
      </c>
      <c r="B410" t="str">
        <f>IFERROR(INDEX(S項目!$B:$B,MATCH(アイテムビューア!$A410,S項目!$A:$A,0)),"")</f>
        <v/>
      </c>
      <c r="C410" t="str">
        <f>IFERROR(INDEX(C項目!$A:$A,MATCH(アイテムビューア!$E410,C項目!$D:$D,0)),"")</f>
        <v/>
      </c>
      <c r="D410" t="str">
        <f>IFERROR(INDEX(T項目!$E:$E,MATCH(アイテムビューア!$C410,T項目!$D:$D,0)),"")</f>
        <v/>
      </c>
      <c r="E410">
        <f>アイテム項目!$A410</f>
        <v>0</v>
      </c>
      <c r="F410" t="str">
        <f>IFERROR(INDEX(C項目!$E:$E,MATCH(アイテムビューア!$E410,C項目!$D:$D,0)),"")</f>
        <v/>
      </c>
      <c r="G410">
        <f>アイテム項目!$E410</f>
        <v>0</v>
      </c>
      <c r="H410">
        <f>アイテム項目!$F410</f>
        <v>0</v>
      </c>
      <c r="I410">
        <f>アイテム項目!$G410</f>
        <v>0</v>
      </c>
      <c r="J410">
        <f>アイテム項目!$H410</f>
        <v>0</v>
      </c>
      <c r="K410">
        <f>アイテム項目!$I410</f>
        <v>0</v>
      </c>
    </row>
    <row r="411" spans="1:11">
      <c r="A411" t="str">
        <f>IFERROR(INDEX(T項目!$A:$A,MATCH(アイテムビューア!$C411,T項目!$D:$D,0)),"")</f>
        <v/>
      </c>
      <c r="B411" t="str">
        <f>IFERROR(INDEX(S項目!$B:$B,MATCH(アイテムビューア!$A411,S項目!$A:$A,0)),"")</f>
        <v/>
      </c>
      <c r="C411" t="str">
        <f>IFERROR(INDEX(C項目!$A:$A,MATCH(アイテムビューア!$E411,C項目!$D:$D,0)),"")</f>
        <v/>
      </c>
      <c r="D411" t="str">
        <f>IFERROR(INDEX(T項目!$E:$E,MATCH(アイテムビューア!$C411,T項目!$D:$D,0)),"")</f>
        <v/>
      </c>
      <c r="E411">
        <f>アイテム項目!$A411</f>
        <v>0</v>
      </c>
      <c r="F411" t="str">
        <f>IFERROR(INDEX(C項目!$E:$E,MATCH(アイテムビューア!$E411,C項目!$D:$D,0)),"")</f>
        <v/>
      </c>
      <c r="G411">
        <f>アイテム項目!$E411</f>
        <v>0</v>
      </c>
      <c r="H411">
        <f>アイテム項目!$F411</f>
        <v>0</v>
      </c>
      <c r="I411">
        <f>アイテム項目!$G411</f>
        <v>0</v>
      </c>
      <c r="J411">
        <f>アイテム項目!$H411</f>
        <v>0</v>
      </c>
      <c r="K411">
        <f>アイテム項目!$I411</f>
        <v>0</v>
      </c>
    </row>
    <row r="412" spans="1:11">
      <c r="A412" t="str">
        <f>IFERROR(INDEX(T項目!$A:$A,MATCH(アイテムビューア!$C412,T項目!$D:$D,0)),"")</f>
        <v/>
      </c>
      <c r="B412" t="str">
        <f>IFERROR(INDEX(S項目!$B:$B,MATCH(アイテムビューア!$A412,S項目!$A:$A,0)),"")</f>
        <v/>
      </c>
      <c r="C412" t="str">
        <f>IFERROR(INDEX(C項目!$A:$A,MATCH(アイテムビューア!$E412,C項目!$D:$D,0)),"")</f>
        <v/>
      </c>
      <c r="D412" t="str">
        <f>IFERROR(INDEX(T項目!$E:$E,MATCH(アイテムビューア!$C412,T項目!$D:$D,0)),"")</f>
        <v/>
      </c>
      <c r="E412">
        <f>アイテム項目!$A412</f>
        <v>0</v>
      </c>
      <c r="F412" t="str">
        <f>IFERROR(INDEX(C項目!$E:$E,MATCH(アイテムビューア!$E412,C項目!$D:$D,0)),"")</f>
        <v/>
      </c>
      <c r="G412">
        <f>アイテム項目!$E412</f>
        <v>0</v>
      </c>
      <c r="H412">
        <f>アイテム項目!$F412</f>
        <v>0</v>
      </c>
      <c r="I412">
        <f>アイテム項目!$G412</f>
        <v>0</v>
      </c>
      <c r="J412">
        <f>アイテム項目!$H412</f>
        <v>0</v>
      </c>
      <c r="K412">
        <f>アイテム項目!$I412</f>
        <v>0</v>
      </c>
    </row>
    <row r="413" spans="1:11">
      <c r="A413" t="str">
        <f>IFERROR(INDEX(T項目!$A:$A,MATCH(アイテムビューア!$C413,T項目!$D:$D,0)),"")</f>
        <v/>
      </c>
      <c r="B413" t="str">
        <f>IFERROR(INDEX(S項目!$B:$B,MATCH(アイテムビューア!$A413,S項目!$A:$A,0)),"")</f>
        <v/>
      </c>
      <c r="C413" t="str">
        <f>IFERROR(INDEX(C項目!$A:$A,MATCH(アイテムビューア!$E413,C項目!$D:$D,0)),"")</f>
        <v/>
      </c>
      <c r="D413" t="str">
        <f>IFERROR(INDEX(T項目!$E:$E,MATCH(アイテムビューア!$C413,T項目!$D:$D,0)),"")</f>
        <v/>
      </c>
      <c r="E413">
        <f>アイテム項目!$A413</f>
        <v>0</v>
      </c>
      <c r="F413" t="str">
        <f>IFERROR(INDEX(C項目!$E:$E,MATCH(アイテムビューア!$E413,C項目!$D:$D,0)),"")</f>
        <v/>
      </c>
      <c r="G413">
        <f>アイテム項目!$E413</f>
        <v>0</v>
      </c>
      <c r="H413">
        <f>アイテム項目!$F413</f>
        <v>0</v>
      </c>
      <c r="I413">
        <f>アイテム項目!$G413</f>
        <v>0</v>
      </c>
      <c r="J413">
        <f>アイテム項目!$H413</f>
        <v>0</v>
      </c>
      <c r="K413">
        <f>アイテム項目!$I413</f>
        <v>0</v>
      </c>
    </row>
    <row r="414" spans="1:11">
      <c r="A414" t="str">
        <f>IFERROR(INDEX(T項目!$A:$A,MATCH(アイテムビューア!$C414,T項目!$D:$D,0)),"")</f>
        <v/>
      </c>
      <c r="B414" t="str">
        <f>IFERROR(INDEX(S項目!$B:$B,MATCH(アイテムビューア!$A414,S項目!$A:$A,0)),"")</f>
        <v/>
      </c>
      <c r="C414" t="str">
        <f>IFERROR(INDEX(C項目!$A:$A,MATCH(アイテムビューア!$E414,C項目!$D:$D,0)),"")</f>
        <v/>
      </c>
      <c r="D414" t="str">
        <f>IFERROR(INDEX(T項目!$E:$E,MATCH(アイテムビューア!$C414,T項目!$D:$D,0)),"")</f>
        <v/>
      </c>
      <c r="E414">
        <f>アイテム項目!$A414</f>
        <v>0</v>
      </c>
      <c r="F414" t="str">
        <f>IFERROR(INDEX(C項目!$E:$E,MATCH(アイテムビューア!$E414,C項目!$D:$D,0)),"")</f>
        <v/>
      </c>
      <c r="G414">
        <f>アイテム項目!$E414</f>
        <v>0</v>
      </c>
      <c r="H414">
        <f>アイテム項目!$F414</f>
        <v>0</v>
      </c>
      <c r="I414">
        <f>アイテム項目!$G414</f>
        <v>0</v>
      </c>
      <c r="J414">
        <f>アイテム項目!$H414</f>
        <v>0</v>
      </c>
      <c r="K414">
        <f>アイテム項目!$I414</f>
        <v>0</v>
      </c>
    </row>
    <row r="415" spans="1:11">
      <c r="A415" t="str">
        <f>IFERROR(INDEX(T項目!$A:$A,MATCH(アイテムビューア!$C415,T項目!$D:$D,0)),"")</f>
        <v/>
      </c>
      <c r="B415" t="str">
        <f>IFERROR(INDEX(S項目!$B:$B,MATCH(アイテムビューア!$A415,S項目!$A:$A,0)),"")</f>
        <v/>
      </c>
      <c r="C415" t="str">
        <f>IFERROR(INDEX(C項目!$A:$A,MATCH(アイテムビューア!$E415,C項目!$D:$D,0)),"")</f>
        <v/>
      </c>
      <c r="D415" t="str">
        <f>IFERROR(INDEX(T項目!$E:$E,MATCH(アイテムビューア!$C415,T項目!$D:$D,0)),"")</f>
        <v/>
      </c>
      <c r="E415">
        <f>アイテム項目!$A415</f>
        <v>0</v>
      </c>
      <c r="F415" t="str">
        <f>IFERROR(INDEX(C項目!$E:$E,MATCH(アイテムビューア!$E415,C項目!$D:$D,0)),"")</f>
        <v/>
      </c>
      <c r="G415">
        <f>アイテム項目!$E415</f>
        <v>0</v>
      </c>
      <c r="H415">
        <f>アイテム項目!$F415</f>
        <v>0</v>
      </c>
      <c r="I415">
        <f>アイテム項目!$G415</f>
        <v>0</v>
      </c>
      <c r="J415">
        <f>アイテム項目!$H415</f>
        <v>0</v>
      </c>
      <c r="K415">
        <f>アイテム項目!$I415</f>
        <v>0</v>
      </c>
    </row>
    <row r="416" spans="1:11">
      <c r="A416" t="str">
        <f>IFERROR(INDEX(T項目!$A:$A,MATCH(アイテムビューア!$C416,T項目!$D:$D,0)),"")</f>
        <v/>
      </c>
      <c r="B416" t="str">
        <f>IFERROR(INDEX(S項目!$B:$B,MATCH(アイテムビューア!$A416,S項目!$A:$A,0)),"")</f>
        <v/>
      </c>
      <c r="C416" t="str">
        <f>IFERROR(INDEX(C項目!$A:$A,MATCH(アイテムビューア!$E416,C項目!$D:$D,0)),"")</f>
        <v/>
      </c>
      <c r="D416" t="str">
        <f>IFERROR(INDEX(T項目!$E:$E,MATCH(アイテムビューア!$C416,T項目!$D:$D,0)),"")</f>
        <v/>
      </c>
      <c r="E416">
        <f>アイテム項目!$A416</f>
        <v>0</v>
      </c>
      <c r="F416" t="str">
        <f>IFERROR(INDEX(C項目!$E:$E,MATCH(アイテムビューア!$E416,C項目!$D:$D,0)),"")</f>
        <v/>
      </c>
      <c r="G416">
        <f>アイテム項目!$E416</f>
        <v>0</v>
      </c>
      <c r="H416">
        <f>アイテム項目!$F416</f>
        <v>0</v>
      </c>
      <c r="I416">
        <f>アイテム項目!$G416</f>
        <v>0</v>
      </c>
      <c r="J416">
        <f>アイテム項目!$H416</f>
        <v>0</v>
      </c>
      <c r="K416">
        <f>アイテム項目!$I416</f>
        <v>0</v>
      </c>
    </row>
    <row r="417" spans="1:11">
      <c r="A417" t="str">
        <f>IFERROR(INDEX(T項目!$A:$A,MATCH(アイテムビューア!$C417,T項目!$D:$D,0)),"")</f>
        <v/>
      </c>
      <c r="B417" t="str">
        <f>IFERROR(INDEX(S項目!$B:$B,MATCH(アイテムビューア!$A417,S項目!$A:$A,0)),"")</f>
        <v/>
      </c>
      <c r="C417" t="str">
        <f>IFERROR(INDEX(C項目!$A:$A,MATCH(アイテムビューア!$E417,C項目!$D:$D,0)),"")</f>
        <v/>
      </c>
      <c r="D417" t="str">
        <f>IFERROR(INDEX(T項目!$E:$E,MATCH(アイテムビューア!$C417,T項目!$D:$D,0)),"")</f>
        <v/>
      </c>
      <c r="E417">
        <f>アイテム項目!$A417</f>
        <v>0</v>
      </c>
      <c r="F417" t="str">
        <f>IFERROR(INDEX(C項目!$E:$E,MATCH(アイテムビューア!$E417,C項目!$D:$D,0)),"")</f>
        <v/>
      </c>
      <c r="G417">
        <f>アイテム項目!$E417</f>
        <v>0</v>
      </c>
      <c r="H417">
        <f>アイテム項目!$F417</f>
        <v>0</v>
      </c>
      <c r="I417">
        <f>アイテム項目!$G417</f>
        <v>0</v>
      </c>
      <c r="J417">
        <f>アイテム項目!$H417</f>
        <v>0</v>
      </c>
      <c r="K417">
        <f>アイテム項目!$I417</f>
        <v>0</v>
      </c>
    </row>
    <row r="418" spans="1:11">
      <c r="A418" t="str">
        <f>IFERROR(INDEX(T項目!$A:$A,MATCH(アイテムビューア!$C418,T項目!$D:$D,0)),"")</f>
        <v/>
      </c>
      <c r="B418" t="str">
        <f>IFERROR(INDEX(S項目!$B:$B,MATCH(アイテムビューア!$A418,S項目!$A:$A,0)),"")</f>
        <v/>
      </c>
      <c r="C418" t="str">
        <f>IFERROR(INDEX(C項目!$A:$A,MATCH(アイテムビューア!$E418,C項目!$D:$D,0)),"")</f>
        <v/>
      </c>
      <c r="D418" t="str">
        <f>IFERROR(INDEX(T項目!$E:$E,MATCH(アイテムビューア!$C418,T項目!$D:$D,0)),"")</f>
        <v/>
      </c>
      <c r="E418">
        <f>アイテム項目!$A418</f>
        <v>0</v>
      </c>
      <c r="F418" t="str">
        <f>IFERROR(INDEX(C項目!$E:$E,MATCH(アイテムビューア!$E418,C項目!$D:$D,0)),"")</f>
        <v/>
      </c>
      <c r="G418">
        <f>アイテム項目!$E418</f>
        <v>0</v>
      </c>
      <c r="H418">
        <f>アイテム項目!$F418</f>
        <v>0</v>
      </c>
      <c r="I418">
        <f>アイテム項目!$G418</f>
        <v>0</v>
      </c>
      <c r="J418">
        <f>アイテム項目!$H418</f>
        <v>0</v>
      </c>
      <c r="K418">
        <f>アイテム項目!$I418</f>
        <v>0</v>
      </c>
    </row>
    <row r="419" spans="1:11">
      <c r="A419" t="str">
        <f>IFERROR(INDEX(T項目!$A:$A,MATCH(アイテムビューア!$C419,T項目!$D:$D,0)),"")</f>
        <v/>
      </c>
      <c r="B419" t="str">
        <f>IFERROR(INDEX(S項目!$B:$B,MATCH(アイテムビューア!$A419,S項目!$A:$A,0)),"")</f>
        <v/>
      </c>
      <c r="C419" t="str">
        <f>IFERROR(INDEX(C項目!$A:$A,MATCH(アイテムビューア!$E419,C項目!$D:$D,0)),"")</f>
        <v/>
      </c>
      <c r="D419" t="str">
        <f>IFERROR(INDEX(T項目!$E:$E,MATCH(アイテムビューア!$C419,T項目!$D:$D,0)),"")</f>
        <v/>
      </c>
      <c r="E419">
        <f>アイテム項目!$A419</f>
        <v>0</v>
      </c>
      <c r="F419" t="str">
        <f>IFERROR(INDEX(C項目!$E:$E,MATCH(アイテムビューア!$E419,C項目!$D:$D,0)),"")</f>
        <v/>
      </c>
      <c r="G419">
        <f>アイテム項目!$E419</f>
        <v>0</v>
      </c>
      <c r="H419">
        <f>アイテム項目!$F419</f>
        <v>0</v>
      </c>
      <c r="I419">
        <f>アイテム項目!$G419</f>
        <v>0</v>
      </c>
      <c r="J419">
        <f>アイテム項目!$H419</f>
        <v>0</v>
      </c>
      <c r="K419">
        <f>アイテム項目!$I419</f>
        <v>0</v>
      </c>
    </row>
    <row r="420" spans="1:11">
      <c r="A420" t="str">
        <f>IFERROR(INDEX(T項目!$A:$A,MATCH(アイテムビューア!$C420,T項目!$D:$D,0)),"")</f>
        <v/>
      </c>
      <c r="B420" t="str">
        <f>IFERROR(INDEX(S項目!$B:$B,MATCH(アイテムビューア!$A420,S項目!$A:$A,0)),"")</f>
        <v/>
      </c>
      <c r="C420" t="str">
        <f>IFERROR(INDEX(C項目!$A:$A,MATCH(アイテムビューア!$E420,C項目!$D:$D,0)),"")</f>
        <v/>
      </c>
      <c r="D420" t="str">
        <f>IFERROR(INDEX(T項目!$E:$E,MATCH(アイテムビューア!$C420,T項目!$D:$D,0)),"")</f>
        <v/>
      </c>
      <c r="E420">
        <f>アイテム項目!$A420</f>
        <v>0</v>
      </c>
      <c r="F420" t="str">
        <f>IFERROR(INDEX(C項目!$E:$E,MATCH(アイテムビューア!$E420,C項目!$D:$D,0)),"")</f>
        <v/>
      </c>
      <c r="G420">
        <f>アイテム項目!$E420</f>
        <v>0</v>
      </c>
      <c r="H420">
        <f>アイテム項目!$F420</f>
        <v>0</v>
      </c>
      <c r="I420">
        <f>アイテム項目!$G420</f>
        <v>0</v>
      </c>
      <c r="J420">
        <f>アイテム項目!$H420</f>
        <v>0</v>
      </c>
      <c r="K420">
        <f>アイテム項目!$I420</f>
        <v>0</v>
      </c>
    </row>
    <row r="421" spans="1:11">
      <c r="A421" t="str">
        <f>IFERROR(INDEX(T項目!$A:$A,MATCH(アイテムビューア!$C421,T項目!$D:$D,0)),"")</f>
        <v/>
      </c>
      <c r="B421" t="str">
        <f>IFERROR(INDEX(S項目!$B:$B,MATCH(アイテムビューア!$A421,S項目!$A:$A,0)),"")</f>
        <v/>
      </c>
      <c r="C421" t="str">
        <f>IFERROR(INDEX(C項目!$A:$A,MATCH(アイテムビューア!$E421,C項目!$D:$D,0)),"")</f>
        <v/>
      </c>
      <c r="D421" t="str">
        <f>IFERROR(INDEX(T項目!$E:$E,MATCH(アイテムビューア!$C421,T項目!$D:$D,0)),"")</f>
        <v/>
      </c>
      <c r="E421">
        <f>アイテム項目!$A421</f>
        <v>0</v>
      </c>
      <c r="F421" t="str">
        <f>IFERROR(INDEX(C項目!$E:$E,MATCH(アイテムビューア!$E421,C項目!$D:$D,0)),"")</f>
        <v/>
      </c>
      <c r="G421">
        <f>アイテム項目!$E421</f>
        <v>0</v>
      </c>
      <c r="H421">
        <f>アイテム項目!$F421</f>
        <v>0</v>
      </c>
      <c r="I421">
        <f>アイテム項目!$G421</f>
        <v>0</v>
      </c>
      <c r="J421">
        <f>アイテム項目!$H421</f>
        <v>0</v>
      </c>
      <c r="K421">
        <f>アイテム項目!$I421</f>
        <v>0</v>
      </c>
    </row>
    <row r="422" spans="1:11">
      <c r="A422" t="str">
        <f>IFERROR(INDEX(T項目!$A:$A,MATCH(アイテムビューア!$C422,T項目!$D:$D,0)),"")</f>
        <v/>
      </c>
      <c r="B422" t="str">
        <f>IFERROR(INDEX(S項目!$B:$B,MATCH(アイテムビューア!$A422,S項目!$A:$A,0)),"")</f>
        <v/>
      </c>
      <c r="C422" t="str">
        <f>IFERROR(INDEX(C項目!$A:$A,MATCH(アイテムビューア!$E422,C項目!$D:$D,0)),"")</f>
        <v/>
      </c>
      <c r="D422" t="str">
        <f>IFERROR(INDEX(T項目!$E:$E,MATCH(アイテムビューア!$C422,T項目!$D:$D,0)),"")</f>
        <v/>
      </c>
      <c r="E422">
        <f>アイテム項目!$A422</f>
        <v>0</v>
      </c>
      <c r="F422" t="str">
        <f>IFERROR(INDEX(C項目!$E:$E,MATCH(アイテムビューア!$E422,C項目!$D:$D,0)),"")</f>
        <v/>
      </c>
      <c r="G422">
        <f>アイテム項目!$E422</f>
        <v>0</v>
      </c>
      <c r="H422">
        <f>アイテム項目!$F422</f>
        <v>0</v>
      </c>
      <c r="I422">
        <f>アイテム項目!$G422</f>
        <v>0</v>
      </c>
      <c r="J422">
        <f>アイテム項目!$H422</f>
        <v>0</v>
      </c>
      <c r="K422">
        <f>アイテム項目!$I422</f>
        <v>0</v>
      </c>
    </row>
    <row r="423" spans="1:11">
      <c r="A423" t="str">
        <f>IFERROR(INDEX(T項目!$A:$A,MATCH(アイテムビューア!$C423,T項目!$D:$D,0)),"")</f>
        <v/>
      </c>
      <c r="B423" t="str">
        <f>IFERROR(INDEX(S項目!$B:$B,MATCH(アイテムビューア!$A423,S項目!$A:$A,0)),"")</f>
        <v/>
      </c>
      <c r="C423" t="str">
        <f>IFERROR(INDEX(C項目!$A:$A,MATCH(アイテムビューア!$E423,C項目!$D:$D,0)),"")</f>
        <v/>
      </c>
      <c r="D423" t="str">
        <f>IFERROR(INDEX(T項目!$E:$E,MATCH(アイテムビューア!$C423,T項目!$D:$D,0)),"")</f>
        <v/>
      </c>
      <c r="E423">
        <f>アイテム項目!$A423</f>
        <v>0</v>
      </c>
      <c r="F423" t="str">
        <f>IFERROR(INDEX(C項目!$E:$E,MATCH(アイテムビューア!$E423,C項目!$D:$D,0)),"")</f>
        <v/>
      </c>
      <c r="G423">
        <f>アイテム項目!$E423</f>
        <v>0</v>
      </c>
      <c r="H423">
        <f>アイテム項目!$F423</f>
        <v>0</v>
      </c>
      <c r="I423">
        <f>アイテム項目!$G423</f>
        <v>0</v>
      </c>
      <c r="J423">
        <f>アイテム項目!$H423</f>
        <v>0</v>
      </c>
      <c r="K423">
        <f>アイテム項目!$I423</f>
        <v>0</v>
      </c>
    </row>
    <row r="424" spans="1:11">
      <c r="A424" t="str">
        <f>IFERROR(INDEX(T項目!$A:$A,MATCH(アイテムビューア!$C424,T項目!$D:$D,0)),"")</f>
        <v/>
      </c>
      <c r="B424" t="str">
        <f>IFERROR(INDEX(S項目!$B:$B,MATCH(アイテムビューア!$A424,S項目!$A:$A,0)),"")</f>
        <v/>
      </c>
      <c r="C424" t="str">
        <f>IFERROR(INDEX(C項目!$A:$A,MATCH(アイテムビューア!$E424,C項目!$D:$D,0)),"")</f>
        <v/>
      </c>
      <c r="D424" t="str">
        <f>IFERROR(INDEX(T項目!$E:$E,MATCH(アイテムビューア!$C424,T項目!$D:$D,0)),"")</f>
        <v/>
      </c>
      <c r="E424">
        <f>アイテム項目!$A424</f>
        <v>0</v>
      </c>
      <c r="F424" t="str">
        <f>IFERROR(INDEX(C項目!$E:$E,MATCH(アイテムビューア!$E424,C項目!$D:$D,0)),"")</f>
        <v/>
      </c>
      <c r="G424">
        <f>アイテム項目!$E424</f>
        <v>0</v>
      </c>
      <c r="H424">
        <f>アイテム項目!$F424</f>
        <v>0</v>
      </c>
      <c r="I424">
        <f>アイテム項目!$G424</f>
        <v>0</v>
      </c>
      <c r="J424">
        <f>アイテム項目!$H424</f>
        <v>0</v>
      </c>
      <c r="K424">
        <f>アイテム項目!$I424</f>
        <v>0</v>
      </c>
    </row>
    <row r="425" spans="1:11">
      <c r="A425" t="str">
        <f>IFERROR(INDEX(T項目!$A:$A,MATCH(アイテムビューア!$C425,T項目!$D:$D,0)),"")</f>
        <v/>
      </c>
      <c r="B425" t="str">
        <f>IFERROR(INDEX(S項目!$B:$B,MATCH(アイテムビューア!$A425,S項目!$A:$A,0)),"")</f>
        <v/>
      </c>
      <c r="C425" t="str">
        <f>IFERROR(INDEX(C項目!$A:$A,MATCH(アイテムビューア!$E425,C項目!$D:$D,0)),"")</f>
        <v/>
      </c>
      <c r="D425" t="str">
        <f>IFERROR(INDEX(T項目!$E:$E,MATCH(アイテムビューア!$C425,T項目!$D:$D,0)),"")</f>
        <v/>
      </c>
      <c r="E425">
        <f>アイテム項目!$A425</f>
        <v>0</v>
      </c>
      <c r="F425" t="str">
        <f>IFERROR(INDEX(C項目!$E:$E,MATCH(アイテムビューア!$E425,C項目!$D:$D,0)),"")</f>
        <v/>
      </c>
      <c r="G425">
        <f>アイテム項目!$E425</f>
        <v>0</v>
      </c>
      <c r="H425">
        <f>アイテム項目!$F425</f>
        <v>0</v>
      </c>
      <c r="I425">
        <f>アイテム項目!$G425</f>
        <v>0</v>
      </c>
      <c r="J425">
        <f>アイテム項目!$H425</f>
        <v>0</v>
      </c>
      <c r="K425">
        <f>アイテム項目!$I425</f>
        <v>0</v>
      </c>
    </row>
    <row r="426" spans="1:11">
      <c r="A426" t="str">
        <f>IFERROR(INDEX(T項目!$A:$A,MATCH(アイテムビューア!$C426,T項目!$D:$D,0)),"")</f>
        <v/>
      </c>
      <c r="B426" t="str">
        <f>IFERROR(INDEX(S項目!$B:$B,MATCH(アイテムビューア!$A426,S項目!$A:$A,0)),"")</f>
        <v/>
      </c>
      <c r="C426" t="str">
        <f>IFERROR(INDEX(C項目!$A:$A,MATCH(アイテムビューア!$E426,C項目!$D:$D,0)),"")</f>
        <v/>
      </c>
      <c r="D426" t="str">
        <f>IFERROR(INDEX(T項目!$E:$E,MATCH(アイテムビューア!$C426,T項目!$D:$D,0)),"")</f>
        <v/>
      </c>
      <c r="E426">
        <f>アイテム項目!$A426</f>
        <v>0</v>
      </c>
      <c r="F426" t="str">
        <f>IFERROR(INDEX(C項目!$E:$E,MATCH(アイテムビューア!$E426,C項目!$D:$D,0)),"")</f>
        <v/>
      </c>
      <c r="G426">
        <f>アイテム項目!$E426</f>
        <v>0</v>
      </c>
      <c r="H426">
        <f>アイテム項目!$F426</f>
        <v>0</v>
      </c>
      <c r="I426">
        <f>アイテム項目!$G426</f>
        <v>0</v>
      </c>
      <c r="J426">
        <f>アイテム項目!$H426</f>
        <v>0</v>
      </c>
      <c r="K426">
        <f>アイテム項目!$I426</f>
        <v>0</v>
      </c>
    </row>
    <row r="427" spans="1:11">
      <c r="A427" t="str">
        <f>IFERROR(INDEX(T項目!$A:$A,MATCH(アイテムビューア!$C427,T項目!$D:$D,0)),"")</f>
        <v/>
      </c>
      <c r="B427" t="str">
        <f>IFERROR(INDEX(S項目!$B:$B,MATCH(アイテムビューア!$A427,S項目!$A:$A,0)),"")</f>
        <v/>
      </c>
      <c r="C427" t="str">
        <f>IFERROR(INDEX(C項目!$A:$A,MATCH(アイテムビューア!$E427,C項目!$D:$D,0)),"")</f>
        <v/>
      </c>
      <c r="D427" t="str">
        <f>IFERROR(INDEX(T項目!$E:$E,MATCH(アイテムビューア!$C427,T項目!$D:$D,0)),"")</f>
        <v/>
      </c>
      <c r="E427">
        <f>アイテム項目!$A427</f>
        <v>0</v>
      </c>
      <c r="F427" t="str">
        <f>IFERROR(INDEX(C項目!$E:$E,MATCH(アイテムビューア!$E427,C項目!$D:$D,0)),"")</f>
        <v/>
      </c>
      <c r="G427">
        <f>アイテム項目!$E427</f>
        <v>0</v>
      </c>
      <c r="H427">
        <f>アイテム項目!$F427</f>
        <v>0</v>
      </c>
      <c r="I427">
        <f>アイテム項目!$G427</f>
        <v>0</v>
      </c>
      <c r="J427">
        <f>アイテム項目!$H427</f>
        <v>0</v>
      </c>
      <c r="K427">
        <f>アイテム項目!$I427</f>
        <v>0</v>
      </c>
    </row>
    <row r="428" spans="1:11">
      <c r="A428" t="str">
        <f>IFERROR(INDEX(T項目!$A:$A,MATCH(アイテムビューア!$C428,T項目!$D:$D,0)),"")</f>
        <v/>
      </c>
      <c r="B428" t="str">
        <f>IFERROR(INDEX(S項目!$B:$B,MATCH(アイテムビューア!$A428,S項目!$A:$A,0)),"")</f>
        <v/>
      </c>
      <c r="C428" t="str">
        <f>IFERROR(INDEX(C項目!$A:$A,MATCH(アイテムビューア!$E428,C項目!$D:$D,0)),"")</f>
        <v/>
      </c>
      <c r="D428" t="str">
        <f>IFERROR(INDEX(T項目!$E:$E,MATCH(アイテムビューア!$C428,T項目!$D:$D,0)),"")</f>
        <v/>
      </c>
      <c r="E428">
        <f>アイテム項目!$A428</f>
        <v>0</v>
      </c>
      <c r="F428" t="str">
        <f>IFERROR(INDEX(C項目!$E:$E,MATCH(アイテムビューア!$E428,C項目!$D:$D,0)),"")</f>
        <v/>
      </c>
      <c r="G428">
        <f>アイテム項目!$E428</f>
        <v>0</v>
      </c>
      <c r="H428">
        <f>アイテム項目!$F428</f>
        <v>0</v>
      </c>
      <c r="I428">
        <f>アイテム項目!$G428</f>
        <v>0</v>
      </c>
      <c r="J428">
        <f>アイテム項目!$H428</f>
        <v>0</v>
      </c>
      <c r="K428">
        <f>アイテム項目!$I428</f>
        <v>0</v>
      </c>
    </row>
    <row r="429" spans="1:11">
      <c r="A429" t="str">
        <f>IFERROR(INDEX(T項目!$A:$A,MATCH(アイテムビューア!$C429,T項目!$D:$D,0)),"")</f>
        <v/>
      </c>
      <c r="B429" t="str">
        <f>IFERROR(INDEX(S項目!$B:$B,MATCH(アイテムビューア!$A429,S項目!$A:$A,0)),"")</f>
        <v/>
      </c>
      <c r="C429" t="str">
        <f>IFERROR(INDEX(C項目!$A:$A,MATCH(アイテムビューア!$E429,C項目!$D:$D,0)),"")</f>
        <v/>
      </c>
      <c r="D429" t="str">
        <f>IFERROR(INDEX(T項目!$E:$E,MATCH(アイテムビューア!$C429,T項目!$D:$D,0)),"")</f>
        <v/>
      </c>
      <c r="E429">
        <f>アイテム項目!$A429</f>
        <v>0</v>
      </c>
      <c r="F429" t="str">
        <f>IFERROR(INDEX(C項目!$E:$E,MATCH(アイテムビューア!$E429,C項目!$D:$D,0)),"")</f>
        <v/>
      </c>
      <c r="G429">
        <f>アイテム項目!$E429</f>
        <v>0</v>
      </c>
      <c r="H429">
        <f>アイテム項目!$F429</f>
        <v>0</v>
      </c>
      <c r="I429">
        <f>アイテム項目!$G429</f>
        <v>0</v>
      </c>
      <c r="J429">
        <f>アイテム項目!$H429</f>
        <v>0</v>
      </c>
      <c r="K429">
        <f>アイテム項目!$I429</f>
        <v>0</v>
      </c>
    </row>
    <row r="430" spans="1:11">
      <c r="A430" t="str">
        <f>IFERROR(INDEX(T項目!$A:$A,MATCH(アイテムビューア!$C430,T項目!$D:$D,0)),"")</f>
        <v/>
      </c>
      <c r="B430" t="str">
        <f>IFERROR(INDEX(S項目!$B:$B,MATCH(アイテムビューア!$A430,S項目!$A:$A,0)),"")</f>
        <v/>
      </c>
      <c r="C430" t="str">
        <f>IFERROR(INDEX(C項目!$A:$A,MATCH(アイテムビューア!$E430,C項目!$D:$D,0)),"")</f>
        <v/>
      </c>
      <c r="D430" t="str">
        <f>IFERROR(INDEX(T項目!$E:$E,MATCH(アイテムビューア!$C430,T項目!$D:$D,0)),"")</f>
        <v/>
      </c>
      <c r="E430">
        <f>アイテム項目!$A430</f>
        <v>0</v>
      </c>
      <c r="F430" t="str">
        <f>IFERROR(INDEX(C項目!$E:$E,MATCH(アイテムビューア!$E430,C項目!$D:$D,0)),"")</f>
        <v/>
      </c>
      <c r="G430">
        <f>アイテム項目!$E430</f>
        <v>0</v>
      </c>
      <c r="H430">
        <f>アイテム項目!$F430</f>
        <v>0</v>
      </c>
      <c r="I430">
        <f>アイテム項目!$G430</f>
        <v>0</v>
      </c>
      <c r="J430">
        <f>アイテム項目!$H430</f>
        <v>0</v>
      </c>
      <c r="K430">
        <f>アイテム項目!$I430</f>
        <v>0</v>
      </c>
    </row>
    <row r="431" spans="1:11">
      <c r="A431" t="str">
        <f>IFERROR(INDEX(T項目!$A:$A,MATCH(アイテムビューア!$C431,T項目!$D:$D,0)),"")</f>
        <v/>
      </c>
      <c r="B431" t="str">
        <f>IFERROR(INDEX(S項目!$B:$B,MATCH(アイテムビューア!$A431,S項目!$A:$A,0)),"")</f>
        <v/>
      </c>
      <c r="C431" t="str">
        <f>IFERROR(INDEX(C項目!$A:$A,MATCH(アイテムビューア!$E431,C項目!$D:$D,0)),"")</f>
        <v/>
      </c>
      <c r="D431" t="str">
        <f>IFERROR(INDEX(T項目!$E:$E,MATCH(アイテムビューア!$C431,T項目!$D:$D,0)),"")</f>
        <v/>
      </c>
      <c r="E431">
        <f>アイテム項目!$A431</f>
        <v>0</v>
      </c>
      <c r="F431" t="str">
        <f>IFERROR(INDEX(C項目!$E:$E,MATCH(アイテムビューア!$E431,C項目!$D:$D,0)),"")</f>
        <v/>
      </c>
      <c r="G431">
        <f>アイテム項目!$E431</f>
        <v>0</v>
      </c>
      <c r="H431">
        <f>アイテム項目!$F431</f>
        <v>0</v>
      </c>
      <c r="I431">
        <f>アイテム項目!$G431</f>
        <v>0</v>
      </c>
      <c r="J431">
        <f>アイテム項目!$H431</f>
        <v>0</v>
      </c>
      <c r="K431">
        <f>アイテム項目!$I431</f>
        <v>0</v>
      </c>
    </row>
    <row r="432" spans="1:11">
      <c r="A432" t="str">
        <f>IFERROR(INDEX(T項目!$A:$A,MATCH(アイテムビューア!$C432,T項目!$D:$D,0)),"")</f>
        <v/>
      </c>
      <c r="B432" t="str">
        <f>IFERROR(INDEX(S項目!$B:$B,MATCH(アイテムビューア!$A432,S項目!$A:$A,0)),"")</f>
        <v/>
      </c>
      <c r="C432" t="str">
        <f>IFERROR(INDEX(C項目!$A:$A,MATCH(アイテムビューア!$E432,C項目!$D:$D,0)),"")</f>
        <v/>
      </c>
      <c r="D432" t="str">
        <f>IFERROR(INDEX(T項目!$E:$E,MATCH(アイテムビューア!$C432,T項目!$D:$D,0)),"")</f>
        <v/>
      </c>
      <c r="E432">
        <f>アイテム項目!$A432</f>
        <v>0</v>
      </c>
      <c r="F432" t="str">
        <f>IFERROR(INDEX(C項目!$E:$E,MATCH(アイテムビューア!$E432,C項目!$D:$D,0)),"")</f>
        <v/>
      </c>
      <c r="G432">
        <f>アイテム項目!$E432</f>
        <v>0</v>
      </c>
      <c r="H432">
        <f>アイテム項目!$F432</f>
        <v>0</v>
      </c>
      <c r="I432">
        <f>アイテム項目!$G432</f>
        <v>0</v>
      </c>
      <c r="J432">
        <f>アイテム項目!$H432</f>
        <v>0</v>
      </c>
      <c r="K432">
        <f>アイテム項目!$I432</f>
        <v>0</v>
      </c>
    </row>
    <row r="433" spans="1:11">
      <c r="A433" t="str">
        <f>IFERROR(INDEX(T項目!$A:$A,MATCH(アイテムビューア!$C433,T項目!$D:$D,0)),"")</f>
        <v/>
      </c>
      <c r="B433" t="str">
        <f>IFERROR(INDEX(S項目!$B:$B,MATCH(アイテムビューア!$A433,S項目!$A:$A,0)),"")</f>
        <v/>
      </c>
      <c r="C433" t="str">
        <f>IFERROR(INDEX(C項目!$A:$A,MATCH(アイテムビューア!$E433,C項目!$D:$D,0)),"")</f>
        <v/>
      </c>
      <c r="D433" t="str">
        <f>IFERROR(INDEX(T項目!$E:$E,MATCH(アイテムビューア!$C433,T項目!$D:$D,0)),"")</f>
        <v/>
      </c>
      <c r="E433">
        <f>アイテム項目!$A433</f>
        <v>0</v>
      </c>
      <c r="F433" t="str">
        <f>IFERROR(INDEX(C項目!$E:$E,MATCH(アイテムビューア!$E433,C項目!$D:$D,0)),"")</f>
        <v/>
      </c>
      <c r="G433">
        <f>アイテム項目!$E433</f>
        <v>0</v>
      </c>
      <c r="H433">
        <f>アイテム項目!$F433</f>
        <v>0</v>
      </c>
      <c r="I433">
        <f>アイテム項目!$G433</f>
        <v>0</v>
      </c>
      <c r="J433">
        <f>アイテム項目!$H433</f>
        <v>0</v>
      </c>
      <c r="K433">
        <f>アイテム項目!$I433</f>
        <v>0</v>
      </c>
    </row>
    <row r="434" spans="1:11">
      <c r="A434" t="str">
        <f>IFERROR(INDEX(T項目!$A:$A,MATCH(アイテムビューア!$C434,T項目!$D:$D,0)),"")</f>
        <v/>
      </c>
      <c r="B434" t="str">
        <f>IFERROR(INDEX(S項目!$B:$B,MATCH(アイテムビューア!$A434,S項目!$A:$A,0)),"")</f>
        <v/>
      </c>
      <c r="C434" t="str">
        <f>IFERROR(INDEX(C項目!$A:$A,MATCH(アイテムビューア!$E434,C項目!$D:$D,0)),"")</f>
        <v/>
      </c>
      <c r="D434" t="str">
        <f>IFERROR(INDEX(T項目!$E:$E,MATCH(アイテムビューア!$C434,T項目!$D:$D,0)),"")</f>
        <v/>
      </c>
      <c r="E434">
        <f>アイテム項目!$A434</f>
        <v>0</v>
      </c>
      <c r="F434" t="str">
        <f>IFERROR(INDEX(C項目!$E:$E,MATCH(アイテムビューア!$E434,C項目!$D:$D,0)),"")</f>
        <v/>
      </c>
      <c r="G434">
        <f>アイテム項目!$E434</f>
        <v>0</v>
      </c>
      <c r="H434">
        <f>アイテム項目!$F434</f>
        <v>0</v>
      </c>
      <c r="I434">
        <f>アイテム項目!$G434</f>
        <v>0</v>
      </c>
      <c r="J434">
        <f>アイテム項目!$H434</f>
        <v>0</v>
      </c>
      <c r="K434">
        <f>アイテム項目!$I434</f>
        <v>0</v>
      </c>
    </row>
    <row r="435" spans="1:11">
      <c r="A435" t="str">
        <f>IFERROR(INDEX(T項目!$A:$A,MATCH(アイテムビューア!$C435,T項目!$D:$D,0)),"")</f>
        <v/>
      </c>
      <c r="B435" t="str">
        <f>IFERROR(INDEX(S項目!$B:$B,MATCH(アイテムビューア!$A435,S項目!$A:$A,0)),"")</f>
        <v/>
      </c>
      <c r="C435" t="str">
        <f>IFERROR(INDEX(C項目!$A:$A,MATCH(アイテムビューア!$E435,C項目!$D:$D,0)),"")</f>
        <v/>
      </c>
      <c r="D435" t="str">
        <f>IFERROR(INDEX(T項目!$E:$E,MATCH(アイテムビューア!$C435,T項目!$D:$D,0)),"")</f>
        <v/>
      </c>
      <c r="E435">
        <f>アイテム項目!$A435</f>
        <v>0</v>
      </c>
      <c r="F435" t="str">
        <f>IFERROR(INDEX(C項目!$E:$E,MATCH(アイテムビューア!$E435,C項目!$D:$D,0)),"")</f>
        <v/>
      </c>
      <c r="G435">
        <f>アイテム項目!$E435</f>
        <v>0</v>
      </c>
      <c r="H435">
        <f>アイテム項目!$F435</f>
        <v>0</v>
      </c>
      <c r="I435">
        <f>アイテム項目!$G435</f>
        <v>0</v>
      </c>
      <c r="J435">
        <f>アイテム項目!$H435</f>
        <v>0</v>
      </c>
      <c r="K435">
        <f>アイテム項目!$I435</f>
        <v>0</v>
      </c>
    </row>
    <row r="436" spans="1:11">
      <c r="A436" t="str">
        <f>IFERROR(INDEX(T項目!$A:$A,MATCH(アイテムビューア!$C436,T項目!$D:$D,0)),"")</f>
        <v/>
      </c>
      <c r="B436" t="str">
        <f>IFERROR(INDEX(S項目!$B:$B,MATCH(アイテムビューア!$A436,S項目!$A:$A,0)),"")</f>
        <v/>
      </c>
      <c r="C436" t="str">
        <f>IFERROR(INDEX(C項目!$A:$A,MATCH(アイテムビューア!$E436,C項目!$D:$D,0)),"")</f>
        <v/>
      </c>
      <c r="D436" t="str">
        <f>IFERROR(INDEX(T項目!$E:$E,MATCH(アイテムビューア!$C436,T項目!$D:$D,0)),"")</f>
        <v/>
      </c>
      <c r="E436">
        <f>アイテム項目!$A436</f>
        <v>0</v>
      </c>
      <c r="F436" t="str">
        <f>IFERROR(INDEX(C項目!$E:$E,MATCH(アイテムビューア!$E436,C項目!$D:$D,0)),"")</f>
        <v/>
      </c>
      <c r="G436">
        <f>アイテム項目!$E436</f>
        <v>0</v>
      </c>
      <c r="H436">
        <f>アイテム項目!$F436</f>
        <v>0</v>
      </c>
      <c r="I436">
        <f>アイテム項目!$G436</f>
        <v>0</v>
      </c>
      <c r="J436">
        <f>アイテム項目!$H436</f>
        <v>0</v>
      </c>
      <c r="K436">
        <f>アイテム項目!$I436</f>
        <v>0</v>
      </c>
    </row>
    <row r="437" spans="1:11">
      <c r="A437" t="str">
        <f>IFERROR(INDEX(T項目!$A:$A,MATCH(アイテムビューア!$C437,T項目!$D:$D,0)),"")</f>
        <v/>
      </c>
      <c r="B437" t="str">
        <f>IFERROR(INDEX(S項目!$B:$B,MATCH(アイテムビューア!$A437,S項目!$A:$A,0)),"")</f>
        <v/>
      </c>
      <c r="C437" t="str">
        <f>IFERROR(INDEX(C項目!$A:$A,MATCH(アイテムビューア!$E437,C項目!$D:$D,0)),"")</f>
        <v/>
      </c>
      <c r="D437" t="str">
        <f>IFERROR(INDEX(T項目!$E:$E,MATCH(アイテムビューア!$C437,T項目!$D:$D,0)),"")</f>
        <v/>
      </c>
      <c r="E437">
        <f>アイテム項目!$A437</f>
        <v>0</v>
      </c>
      <c r="F437" t="str">
        <f>IFERROR(INDEX(C項目!$E:$E,MATCH(アイテムビューア!$E437,C項目!$D:$D,0)),"")</f>
        <v/>
      </c>
      <c r="G437">
        <f>アイテム項目!$E437</f>
        <v>0</v>
      </c>
      <c r="H437">
        <f>アイテム項目!$F437</f>
        <v>0</v>
      </c>
      <c r="I437">
        <f>アイテム項目!$G437</f>
        <v>0</v>
      </c>
      <c r="J437">
        <f>アイテム項目!$H437</f>
        <v>0</v>
      </c>
      <c r="K437">
        <f>アイテム項目!$I437</f>
        <v>0</v>
      </c>
    </row>
    <row r="438" spans="1:11">
      <c r="A438" t="str">
        <f>IFERROR(INDEX(T項目!$A:$A,MATCH(アイテムビューア!$C438,T項目!$D:$D,0)),"")</f>
        <v/>
      </c>
      <c r="B438" t="str">
        <f>IFERROR(INDEX(S項目!$B:$B,MATCH(アイテムビューア!$A438,S項目!$A:$A,0)),"")</f>
        <v/>
      </c>
      <c r="C438" t="str">
        <f>IFERROR(INDEX(C項目!$A:$A,MATCH(アイテムビューア!$E438,C項目!$D:$D,0)),"")</f>
        <v/>
      </c>
      <c r="D438" t="str">
        <f>IFERROR(INDEX(T項目!$E:$E,MATCH(アイテムビューア!$C438,T項目!$D:$D,0)),"")</f>
        <v/>
      </c>
      <c r="E438">
        <f>アイテム項目!$A438</f>
        <v>0</v>
      </c>
      <c r="F438" t="str">
        <f>IFERROR(INDEX(C項目!$E:$E,MATCH(アイテムビューア!$E438,C項目!$D:$D,0)),"")</f>
        <v/>
      </c>
      <c r="G438">
        <f>アイテム項目!$E438</f>
        <v>0</v>
      </c>
      <c r="H438">
        <f>アイテム項目!$F438</f>
        <v>0</v>
      </c>
      <c r="I438">
        <f>アイテム項目!$G438</f>
        <v>0</v>
      </c>
      <c r="J438">
        <f>アイテム項目!$H438</f>
        <v>0</v>
      </c>
      <c r="K438">
        <f>アイテム項目!$I438</f>
        <v>0</v>
      </c>
    </row>
    <row r="439" spans="1:11">
      <c r="A439" t="str">
        <f>IFERROR(INDEX(T項目!$A:$A,MATCH(アイテムビューア!$C439,T項目!$D:$D,0)),"")</f>
        <v/>
      </c>
      <c r="B439" t="str">
        <f>IFERROR(INDEX(S項目!$B:$B,MATCH(アイテムビューア!$A439,S項目!$A:$A,0)),"")</f>
        <v/>
      </c>
      <c r="C439" t="str">
        <f>IFERROR(INDEX(C項目!$A:$A,MATCH(アイテムビューア!$E439,C項目!$D:$D,0)),"")</f>
        <v/>
      </c>
      <c r="D439" t="str">
        <f>IFERROR(INDEX(T項目!$E:$E,MATCH(アイテムビューア!$C439,T項目!$D:$D,0)),"")</f>
        <v/>
      </c>
      <c r="E439">
        <f>アイテム項目!$A439</f>
        <v>0</v>
      </c>
      <c r="F439" t="str">
        <f>IFERROR(INDEX(C項目!$E:$E,MATCH(アイテムビューア!$E439,C項目!$D:$D,0)),"")</f>
        <v/>
      </c>
      <c r="G439">
        <f>アイテム項目!$E439</f>
        <v>0</v>
      </c>
      <c r="H439">
        <f>アイテム項目!$F439</f>
        <v>0</v>
      </c>
      <c r="I439">
        <f>アイテム項目!$G439</f>
        <v>0</v>
      </c>
      <c r="J439">
        <f>アイテム項目!$H439</f>
        <v>0</v>
      </c>
      <c r="K439">
        <f>アイテム項目!$I439</f>
        <v>0</v>
      </c>
    </row>
    <row r="440" spans="1:11">
      <c r="A440" t="str">
        <f>IFERROR(INDEX(T項目!$A:$A,MATCH(アイテムビューア!$C440,T項目!$D:$D,0)),"")</f>
        <v/>
      </c>
      <c r="B440" t="str">
        <f>IFERROR(INDEX(S項目!$B:$B,MATCH(アイテムビューア!$A440,S項目!$A:$A,0)),"")</f>
        <v/>
      </c>
      <c r="C440" t="str">
        <f>IFERROR(INDEX(C項目!$A:$A,MATCH(アイテムビューア!$E440,C項目!$D:$D,0)),"")</f>
        <v/>
      </c>
      <c r="D440" t="str">
        <f>IFERROR(INDEX(T項目!$E:$E,MATCH(アイテムビューア!$C440,T項目!$D:$D,0)),"")</f>
        <v/>
      </c>
      <c r="E440">
        <f>アイテム項目!$A440</f>
        <v>0</v>
      </c>
      <c r="F440" t="str">
        <f>IFERROR(INDEX(C項目!$E:$E,MATCH(アイテムビューア!$E440,C項目!$D:$D,0)),"")</f>
        <v/>
      </c>
      <c r="G440">
        <f>アイテム項目!$E440</f>
        <v>0</v>
      </c>
      <c r="H440">
        <f>アイテム項目!$F440</f>
        <v>0</v>
      </c>
      <c r="I440">
        <f>アイテム項目!$G440</f>
        <v>0</v>
      </c>
      <c r="J440">
        <f>アイテム項目!$H440</f>
        <v>0</v>
      </c>
      <c r="K440">
        <f>アイテム項目!$I440</f>
        <v>0</v>
      </c>
    </row>
    <row r="441" spans="1:11">
      <c r="A441" t="str">
        <f>IFERROR(INDEX(T項目!$A:$A,MATCH(アイテムビューア!$C441,T項目!$D:$D,0)),"")</f>
        <v/>
      </c>
      <c r="B441" t="str">
        <f>IFERROR(INDEX(S項目!$B:$B,MATCH(アイテムビューア!$A441,S項目!$A:$A,0)),"")</f>
        <v/>
      </c>
      <c r="C441" t="str">
        <f>IFERROR(INDEX(C項目!$A:$A,MATCH(アイテムビューア!$E441,C項目!$D:$D,0)),"")</f>
        <v/>
      </c>
      <c r="D441" t="str">
        <f>IFERROR(INDEX(T項目!$E:$E,MATCH(アイテムビューア!$C441,T項目!$D:$D,0)),"")</f>
        <v/>
      </c>
      <c r="E441">
        <f>アイテム項目!$A441</f>
        <v>0</v>
      </c>
      <c r="F441" t="str">
        <f>IFERROR(INDEX(C項目!$E:$E,MATCH(アイテムビューア!$E441,C項目!$D:$D,0)),"")</f>
        <v/>
      </c>
      <c r="G441">
        <f>アイテム項目!$E441</f>
        <v>0</v>
      </c>
      <c r="H441">
        <f>アイテム項目!$F441</f>
        <v>0</v>
      </c>
      <c r="I441">
        <f>アイテム項目!$G441</f>
        <v>0</v>
      </c>
      <c r="J441">
        <f>アイテム項目!$H441</f>
        <v>0</v>
      </c>
      <c r="K441">
        <f>アイテム項目!$I441</f>
        <v>0</v>
      </c>
    </row>
    <row r="442" spans="1:11">
      <c r="A442" t="str">
        <f>IFERROR(INDEX(T項目!$A:$A,MATCH(アイテムビューア!$C442,T項目!$D:$D,0)),"")</f>
        <v/>
      </c>
      <c r="B442" t="str">
        <f>IFERROR(INDEX(S項目!$B:$B,MATCH(アイテムビューア!$A442,S項目!$A:$A,0)),"")</f>
        <v/>
      </c>
      <c r="C442" t="str">
        <f>IFERROR(INDEX(C項目!$A:$A,MATCH(アイテムビューア!$E442,C項目!$D:$D,0)),"")</f>
        <v/>
      </c>
      <c r="D442" t="str">
        <f>IFERROR(INDEX(T項目!$E:$E,MATCH(アイテムビューア!$C442,T項目!$D:$D,0)),"")</f>
        <v/>
      </c>
      <c r="E442">
        <f>アイテム項目!$A442</f>
        <v>0</v>
      </c>
      <c r="F442" t="str">
        <f>IFERROR(INDEX(C項目!$E:$E,MATCH(アイテムビューア!$E442,C項目!$D:$D,0)),"")</f>
        <v/>
      </c>
      <c r="G442">
        <f>アイテム項目!$E442</f>
        <v>0</v>
      </c>
      <c r="H442">
        <f>アイテム項目!$F442</f>
        <v>0</v>
      </c>
      <c r="I442">
        <f>アイテム項目!$G442</f>
        <v>0</v>
      </c>
      <c r="J442">
        <f>アイテム項目!$H442</f>
        <v>0</v>
      </c>
      <c r="K442">
        <f>アイテム項目!$I442</f>
        <v>0</v>
      </c>
    </row>
    <row r="443" spans="1:11">
      <c r="A443" t="str">
        <f>IFERROR(INDEX(T項目!$A:$A,MATCH(アイテムビューア!$C443,T項目!$D:$D,0)),"")</f>
        <v/>
      </c>
      <c r="B443" t="str">
        <f>IFERROR(INDEX(S項目!$B:$B,MATCH(アイテムビューア!$A443,S項目!$A:$A,0)),"")</f>
        <v/>
      </c>
      <c r="C443" t="str">
        <f>IFERROR(INDEX(C項目!$A:$A,MATCH(アイテムビューア!$E443,C項目!$D:$D,0)),"")</f>
        <v/>
      </c>
      <c r="D443" t="str">
        <f>IFERROR(INDEX(T項目!$E:$E,MATCH(アイテムビューア!$C443,T項目!$D:$D,0)),"")</f>
        <v/>
      </c>
      <c r="E443">
        <f>アイテム項目!$A443</f>
        <v>0</v>
      </c>
      <c r="F443" t="str">
        <f>IFERROR(INDEX(C項目!$E:$E,MATCH(アイテムビューア!$E443,C項目!$D:$D,0)),"")</f>
        <v/>
      </c>
      <c r="G443">
        <f>アイテム項目!$E443</f>
        <v>0</v>
      </c>
      <c r="H443">
        <f>アイテム項目!$F443</f>
        <v>0</v>
      </c>
      <c r="I443">
        <f>アイテム項目!$G443</f>
        <v>0</v>
      </c>
      <c r="J443">
        <f>アイテム項目!$H443</f>
        <v>0</v>
      </c>
      <c r="K443">
        <f>アイテム項目!$I443</f>
        <v>0</v>
      </c>
    </row>
    <row r="444" spans="1:11">
      <c r="A444" t="str">
        <f>IFERROR(INDEX(T項目!$A:$A,MATCH(アイテムビューア!$C444,T項目!$D:$D,0)),"")</f>
        <v/>
      </c>
      <c r="B444" t="str">
        <f>IFERROR(INDEX(S項目!$B:$B,MATCH(アイテムビューア!$A444,S項目!$A:$A,0)),"")</f>
        <v/>
      </c>
      <c r="C444" t="str">
        <f>IFERROR(INDEX(C項目!$A:$A,MATCH(アイテムビューア!$E444,C項目!$D:$D,0)),"")</f>
        <v/>
      </c>
      <c r="D444" t="str">
        <f>IFERROR(INDEX(T項目!$E:$E,MATCH(アイテムビューア!$C444,T項目!$D:$D,0)),"")</f>
        <v/>
      </c>
      <c r="E444">
        <f>アイテム項目!$A444</f>
        <v>0</v>
      </c>
      <c r="F444" t="str">
        <f>IFERROR(INDEX(C項目!$E:$E,MATCH(アイテムビューア!$E444,C項目!$D:$D,0)),"")</f>
        <v/>
      </c>
      <c r="G444">
        <f>アイテム項目!$E444</f>
        <v>0</v>
      </c>
      <c r="H444">
        <f>アイテム項目!$F444</f>
        <v>0</v>
      </c>
      <c r="I444">
        <f>アイテム項目!$G444</f>
        <v>0</v>
      </c>
      <c r="J444">
        <f>アイテム項目!$H444</f>
        <v>0</v>
      </c>
      <c r="K444">
        <f>アイテム項目!$I444</f>
        <v>0</v>
      </c>
    </row>
    <row r="445" spans="1:11">
      <c r="A445" t="str">
        <f>IFERROR(INDEX(T項目!$A:$A,MATCH(アイテムビューア!$C445,T項目!$D:$D,0)),"")</f>
        <v/>
      </c>
      <c r="B445" t="str">
        <f>IFERROR(INDEX(S項目!$B:$B,MATCH(アイテムビューア!$A445,S項目!$A:$A,0)),"")</f>
        <v/>
      </c>
      <c r="C445" t="str">
        <f>IFERROR(INDEX(C項目!$A:$A,MATCH(アイテムビューア!$E445,C項目!$D:$D,0)),"")</f>
        <v/>
      </c>
      <c r="D445" t="str">
        <f>IFERROR(INDEX(T項目!$E:$E,MATCH(アイテムビューア!$C445,T項目!$D:$D,0)),"")</f>
        <v/>
      </c>
      <c r="E445">
        <f>アイテム項目!$A445</f>
        <v>0</v>
      </c>
      <c r="F445" t="str">
        <f>IFERROR(INDEX(C項目!$E:$E,MATCH(アイテムビューア!$E445,C項目!$D:$D,0)),"")</f>
        <v/>
      </c>
      <c r="G445">
        <f>アイテム項目!$E445</f>
        <v>0</v>
      </c>
      <c r="H445">
        <f>アイテム項目!$F445</f>
        <v>0</v>
      </c>
      <c r="I445">
        <f>アイテム項目!$G445</f>
        <v>0</v>
      </c>
      <c r="J445">
        <f>アイテム項目!$H445</f>
        <v>0</v>
      </c>
      <c r="K445">
        <f>アイテム項目!$I445</f>
        <v>0</v>
      </c>
    </row>
    <row r="446" spans="1:11">
      <c r="A446" t="str">
        <f>IFERROR(INDEX(T項目!$A:$A,MATCH(アイテムビューア!$C446,T項目!$D:$D,0)),"")</f>
        <v/>
      </c>
      <c r="B446" t="str">
        <f>IFERROR(INDEX(S項目!$B:$B,MATCH(アイテムビューア!$A446,S項目!$A:$A,0)),"")</f>
        <v/>
      </c>
      <c r="C446" t="str">
        <f>IFERROR(INDEX(C項目!$A:$A,MATCH(アイテムビューア!$E446,C項目!$D:$D,0)),"")</f>
        <v/>
      </c>
      <c r="D446" t="str">
        <f>IFERROR(INDEX(T項目!$E:$E,MATCH(アイテムビューア!$C446,T項目!$D:$D,0)),"")</f>
        <v/>
      </c>
      <c r="E446">
        <f>アイテム項目!$A446</f>
        <v>0</v>
      </c>
      <c r="F446" t="str">
        <f>IFERROR(INDEX(C項目!$E:$E,MATCH(アイテムビューア!$E446,C項目!$D:$D,0)),"")</f>
        <v/>
      </c>
      <c r="G446">
        <f>アイテム項目!$E446</f>
        <v>0</v>
      </c>
      <c r="H446">
        <f>アイテム項目!$F446</f>
        <v>0</v>
      </c>
      <c r="I446">
        <f>アイテム項目!$G446</f>
        <v>0</v>
      </c>
      <c r="J446">
        <f>アイテム項目!$H446</f>
        <v>0</v>
      </c>
      <c r="K446">
        <f>アイテム項目!$I446</f>
        <v>0</v>
      </c>
    </row>
    <row r="447" spans="1:11">
      <c r="A447" t="str">
        <f>IFERROR(INDEX(T項目!$A:$A,MATCH(アイテムビューア!$C447,T項目!$D:$D,0)),"")</f>
        <v/>
      </c>
      <c r="B447" t="str">
        <f>IFERROR(INDEX(S項目!$B:$B,MATCH(アイテムビューア!$A447,S項目!$A:$A,0)),"")</f>
        <v/>
      </c>
      <c r="C447" t="str">
        <f>IFERROR(INDEX(C項目!$A:$A,MATCH(アイテムビューア!$E447,C項目!$D:$D,0)),"")</f>
        <v/>
      </c>
      <c r="D447" t="str">
        <f>IFERROR(INDEX(T項目!$E:$E,MATCH(アイテムビューア!$C447,T項目!$D:$D,0)),"")</f>
        <v/>
      </c>
      <c r="E447">
        <f>アイテム項目!$A447</f>
        <v>0</v>
      </c>
      <c r="F447" t="str">
        <f>IFERROR(INDEX(C項目!$E:$E,MATCH(アイテムビューア!$E447,C項目!$D:$D,0)),"")</f>
        <v/>
      </c>
      <c r="G447">
        <f>アイテム項目!$E447</f>
        <v>0</v>
      </c>
      <c r="H447">
        <f>アイテム項目!$F447</f>
        <v>0</v>
      </c>
      <c r="I447">
        <f>アイテム項目!$G447</f>
        <v>0</v>
      </c>
      <c r="J447">
        <f>アイテム項目!$H447</f>
        <v>0</v>
      </c>
      <c r="K447">
        <f>アイテム項目!$I447</f>
        <v>0</v>
      </c>
    </row>
    <row r="448" spans="1:11">
      <c r="A448" t="str">
        <f>IFERROR(INDEX(T項目!$A:$A,MATCH(アイテムビューア!$C448,T項目!$D:$D,0)),"")</f>
        <v/>
      </c>
      <c r="B448" t="str">
        <f>IFERROR(INDEX(S項目!$B:$B,MATCH(アイテムビューア!$A448,S項目!$A:$A,0)),"")</f>
        <v/>
      </c>
      <c r="C448" t="str">
        <f>IFERROR(INDEX(C項目!$A:$A,MATCH(アイテムビューア!$E448,C項目!$D:$D,0)),"")</f>
        <v/>
      </c>
      <c r="D448" t="str">
        <f>IFERROR(INDEX(T項目!$E:$E,MATCH(アイテムビューア!$C448,T項目!$D:$D,0)),"")</f>
        <v/>
      </c>
      <c r="E448">
        <f>アイテム項目!$A448</f>
        <v>0</v>
      </c>
      <c r="F448" t="str">
        <f>IFERROR(INDEX(C項目!$E:$E,MATCH(アイテムビューア!$E448,C項目!$D:$D,0)),"")</f>
        <v/>
      </c>
      <c r="G448">
        <f>アイテム項目!$E448</f>
        <v>0</v>
      </c>
      <c r="H448">
        <f>アイテム項目!$F448</f>
        <v>0</v>
      </c>
      <c r="I448">
        <f>アイテム項目!$G448</f>
        <v>0</v>
      </c>
      <c r="J448">
        <f>アイテム項目!$H448</f>
        <v>0</v>
      </c>
      <c r="K448">
        <f>アイテム項目!$I448</f>
        <v>0</v>
      </c>
    </row>
    <row r="449" spans="1:11">
      <c r="A449" t="str">
        <f>IFERROR(INDEX(T項目!$A:$A,MATCH(アイテムビューア!$C449,T項目!$D:$D,0)),"")</f>
        <v/>
      </c>
      <c r="B449" t="str">
        <f>IFERROR(INDEX(S項目!$B:$B,MATCH(アイテムビューア!$A449,S項目!$A:$A,0)),"")</f>
        <v/>
      </c>
      <c r="C449" t="str">
        <f>IFERROR(INDEX(C項目!$A:$A,MATCH(アイテムビューア!$E449,C項目!$D:$D,0)),"")</f>
        <v/>
      </c>
      <c r="D449" t="str">
        <f>IFERROR(INDEX(T項目!$E:$E,MATCH(アイテムビューア!$C449,T項目!$D:$D,0)),"")</f>
        <v/>
      </c>
      <c r="E449">
        <f>アイテム項目!$A449</f>
        <v>0</v>
      </c>
      <c r="F449" t="str">
        <f>IFERROR(INDEX(C項目!$E:$E,MATCH(アイテムビューア!$E449,C項目!$D:$D,0)),"")</f>
        <v/>
      </c>
      <c r="G449">
        <f>アイテム項目!$E449</f>
        <v>0</v>
      </c>
      <c r="H449">
        <f>アイテム項目!$F449</f>
        <v>0</v>
      </c>
      <c r="I449">
        <f>アイテム項目!$G449</f>
        <v>0</v>
      </c>
      <c r="J449">
        <f>アイテム項目!$H449</f>
        <v>0</v>
      </c>
      <c r="K449">
        <f>アイテム項目!$I449</f>
        <v>0</v>
      </c>
    </row>
    <row r="450" spans="1:11">
      <c r="A450" t="str">
        <f>IFERROR(INDEX(T項目!$A:$A,MATCH(アイテムビューア!$C450,T項目!$D:$D,0)),"")</f>
        <v/>
      </c>
      <c r="B450" t="str">
        <f>IFERROR(INDEX(S項目!$B:$B,MATCH(アイテムビューア!$A450,S項目!$A:$A,0)),"")</f>
        <v/>
      </c>
      <c r="C450" t="str">
        <f>IFERROR(INDEX(C項目!$A:$A,MATCH(アイテムビューア!$E450,C項目!$D:$D,0)),"")</f>
        <v/>
      </c>
      <c r="D450" t="str">
        <f>IFERROR(INDEX(T項目!$E:$E,MATCH(アイテムビューア!$C450,T項目!$D:$D,0)),"")</f>
        <v/>
      </c>
      <c r="E450">
        <f>アイテム項目!$A450</f>
        <v>0</v>
      </c>
      <c r="F450" t="str">
        <f>IFERROR(INDEX(C項目!$E:$E,MATCH(アイテムビューア!$E450,C項目!$D:$D,0)),"")</f>
        <v/>
      </c>
      <c r="G450">
        <f>アイテム項目!$E450</f>
        <v>0</v>
      </c>
      <c r="H450">
        <f>アイテム項目!$F450</f>
        <v>0</v>
      </c>
      <c r="I450">
        <f>アイテム項目!$G450</f>
        <v>0</v>
      </c>
      <c r="J450">
        <f>アイテム項目!$H450</f>
        <v>0</v>
      </c>
      <c r="K450">
        <f>アイテム項目!$I450</f>
        <v>0</v>
      </c>
    </row>
    <row r="451" spans="1:11">
      <c r="A451" t="str">
        <f>IFERROR(INDEX(T項目!$A:$A,MATCH(アイテムビューア!$C451,T項目!$D:$D,0)),"")</f>
        <v/>
      </c>
      <c r="B451" t="str">
        <f>IFERROR(INDEX(S項目!$B:$B,MATCH(アイテムビューア!$A451,S項目!$A:$A,0)),"")</f>
        <v/>
      </c>
      <c r="C451" t="str">
        <f>IFERROR(INDEX(C項目!$A:$A,MATCH(アイテムビューア!$E451,C項目!$D:$D,0)),"")</f>
        <v/>
      </c>
      <c r="D451" t="str">
        <f>IFERROR(INDEX(T項目!$E:$E,MATCH(アイテムビューア!$C451,T項目!$D:$D,0)),"")</f>
        <v/>
      </c>
      <c r="E451">
        <f>アイテム項目!$A451</f>
        <v>0</v>
      </c>
      <c r="F451" t="str">
        <f>IFERROR(INDEX(C項目!$E:$E,MATCH(アイテムビューア!$E451,C項目!$D:$D,0)),"")</f>
        <v/>
      </c>
      <c r="G451">
        <f>アイテム項目!$E451</f>
        <v>0</v>
      </c>
      <c r="H451">
        <f>アイテム項目!$F451</f>
        <v>0</v>
      </c>
      <c r="I451">
        <f>アイテム項目!$G451</f>
        <v>0</v>
      </c>
      <c r="J451">
        <f>アイテム項目!$H451</f>
        <v>0</v>
      </c>
      <c r="K451">
        <f>アイテム項目!$I451</f>
        <v>0</v>
      </c>
    </row>
    <row r="452" spans="1:11">
      <c r="A452" t="str">
        <f>IFERROR(INDEX(T項目!$A:$A,MATCH(アイテムビューア!$C452,T項目!$D:$D,0)),"")</f>
        <v/>
      </c>
      <c r="B452" t="str">
        <f>IFERROR(INDEX(S項目!$B:$B,MATCH(アイテムビューア!$A452,S項目!$A:$A,0)),"")</f>
        <v/>
      </c>
      <c r="C452" t="str">
        <f>IFERROR(INDEX(C項目!$A:$A,MATCH(アイテムビューア!$E452,C項目!$D:$D,0)),"")</f>
        <v/>
      </c>
      <c r="D452" t="str">
        <f>IFERROR(INDEX(T項目!$E:$E,MATCH(アイテムビューア!$C452,T項目!$D:$D,0)),"")</f>
        <v/>
      </c>
      <c r="E452">
        <f>アイテム項目!$A452</f>
        <v>0</v>
      </c>
      <c r="F452" t="str">
        <f>IFERROR(INDEX(C項目!$E:$E,MATCH(アイテムビューア!$E452,C項目!$D:$D,0)),"")</f>
        <v/>
      </c>
      <c r="G452">
        <f>アイテム項目!$E452</f>
        <v>0</v>
      </c>
      <c r="H452">
        <f>アイテム項目!$F452</f>
        <v>0</v>
      </c>
      <c r="I452">
        <f>アイテム項目!$G452</f>
        <v>0</v>
      </c>
      <c r="J452">
        <f>アイテム項目!$H452</f>
        <v>0</v>
      </c>
      <c r="K452">
        <f>アイテム項目!$I452</f>
        <v>0</v>
      </c>
    </row>
    <row r="453" spans="1:11">
      <c r="A453" t="str">
        <f>IFERROR(INDEX(T項目!$A:$A,MATCH(アイテムビューア!$C453,T項目!$D:$D,0)),"")</f>
        <v/>
      </c>
      <c r="B453" t="str">
        <f>IFERROR(INDEX(S項目!$B:$B,MATCH(アイテムビューア!$A453,S項目!$A:$A,0)),"")</f>
        <v/>
      </c>
      <c r="C453" t="str">
        <f>IFERROR(INDEX(C項目!$A:$A,MATCH(アイテムビューア!$E453,C項目!$D:$D,0)),"")</f>
        <v/>
      </c>
      <c r="D453" t="str">
        <f>IFERROR(INDEX(T項目!$E:$E,MATCH(アイテムビューア!$C453,T項目!$D:$D,0)),"")</f>
        <v/>
      </c>
      <c r="E453">
        <f>アイテム項目!$A453</f>
        <v>0</v>
      </c>
      <c r="F453" t="str">
        <f>IFERROR(INDEX(C項目!$E:$E,MATCH(アイテムビューア!$E453,C項目!$D:$D,0)),"")</f>
        <v/>
      </c>
      <c r="G453">
        <f>アイテム項目!$E453</f>
        <v>0</v>
      </c>
      <c r="H453">
        <f>アイテム項目!$F453</f>
        <v>0</v>
      </c>
      <c r="I453">
        <f>アイテム項目!$G453</f>
        <v>0</v>
      </c>
      <c r="J453">
        <f>アイテム項目!$H453</f>
        <v>0</v>
      </c>
      <c r="K453">
        <f>アイテム項目!$I453</f>
        <v>0</v>
      </c>
    </row>
    <row r="454" spans="1:11">
      <c r="A454" t="str">
        <f>IFERROR(INDEX(T項目!$A:$A,MATCH(アイテムビューア!$C454,T項目!$D:$D,0)),"")</f>
        <v/>
      </c>
      <c r="B454" t="str">
        <f>IFERROR(INDEX(S項目!$B:$B,MATCH(アイテムビューア!$A454,S項目!$A:$A,0)),"")</f>
        <v/>
      </c>
      <c r="C454" t="str">
        <f>IFERROR(INDEX(C項目!$A:$A,MATCH(アイテムビューア!$E454,C項目!$D:$D,0)),"")</f>
        <v/>
      </c>
      <c r="D454" t="str">
        <f>IFERROR(INDEX(T項目!$E:$E,MATCH(アイテムビューア!$C454,T項目!$D:$D,0)),"")</f>
        <v/>
      </c>
      <c r="E454">
        <f>アイテム項目!$A454</f>
        <v>0</v>
      </c>
      <c r="F454" t="str">
        <f>IFERROR(INDEX(C項目!$E:$E,MATCH(アイテムビューア!$E454,C項目!$D:$D,0)),"")</f>
        <v/>
      </c>
      <c r="G454">
        <f>アイテム項目!$E454</f>
        <v>0</v>
      </c>
      <c r="H454">
        <f>アイテム項目!$F454</f>
        <v>0</v>
      </c>
      <c r="I454">
        <f>アイテム項目!$G454</f>
        <v>0</v>
      </c>
      <c r="J454">
        <f>アイテム項目!$H454</f>
        <v>0</v>
      </c>
      <c r="K454">
        <f>アイテム項目!$I454</f>
        <v>0</v>
      </c>
    </row>
    <row r="455" spans="1:11">
      <c r="A455" t="str">
        <f>IFERROR(INDEX(T項目!$A:$A,MATCH(アイテムビューア!$C455,T項目!$D:$D,0)),"")</f>
        <v/>
      </c>
      <c r="B455" t="str">
        <f>IFERROR(INDEX(S項目!$B:$B,MATCH(アイテムビューア!$A455,S項目!$A:$A,0)),"")</f>
        <v/>
      </c>
      <c r="C455" t="str">
        <f>IFERROR(INDEX(C項目!$A:$A,MATCH(アイテムビューア!$E455,C項目!$D:$D,0)),"")</f>
        <v/>
      </c>
      <c r="D455" t="str">
        <f>IFERROR(INDEX(T項目!$E:$E,MATCH(アイテムビューア!$C455,T項目!$D:$D,0)),"")</f>
        <v/>
      </c>
      <c r="E455">
        <f>アイテム項目!$A455</f>
        <v>0</v>
      </c>
      <c r="F455" t="str">
        <f>IFERROR(INDEX(C項目!$E:$E,MATCH(アイテムビューア!$E455,C項目!$D:$D,0)),"")</f>
        <v/>
      </c>
      <c r="G455">
        <f>アイテム項目!$E455</f>
        <v>0</v>
      </c>
      <c r="H455">
        <f>アイテム項目!$F455</f>
        <v>0</v>
      </c>
      <c r="I455">
        <f>アイテム項目!$G455</f>
        <v>0</v>
      </c>
      <c r="J455">
        <f>アイテム項目!$H455</f>
        <v>0</v>
      </c>
      <c r="K455">
        <f>アイテム項目!$I455</f>
        <v>0</v>
      </c>
    </row>
    <row r="456" spans="1:11">
      <c r="A456" t="str">
        <f>IFERROR(INDEX(T項目!$A:$A,MATCH(アイテムビューア!$C456,T項目!$D:$D,0)),"")</f>
        <v/>
      </c>
      <c r="B456" t="str">
        <f>IFERROR(INDEX(S項目!$B:$B,MATCH(アイテムビューア!$A456,S項目!$A:$A,0)),"")</f>
        <v/>
      </c>
      <c r="C456" t="str">
        <f>IFERROR(INDEX(C項目!$A:$A,MATCH(アイテムビューア!$E456,C項目!$D:$D,0)),"")</f>
        <v/>
      </c>
      <c r="D456" t="str">
        <f>IFERROR(INDEX(T項目!$E:$E,MATCH(アイテムビューア!$C456,T項目!$D:$D,0)),"")</f>
        <v/>
      </c>
      <c r="E456">
        <f>アイテム項目!$A456</f>
        <v>0</v>
      </c>
      <c r="F456" t="str">
        <f>IFERROR(INDEX(C項目!$E:$E,MATCH(アイテムビューア!$E456,C項目!$D:$D,0)),"")</f>
        <v/>
      </c>
      <c r="G456">
        <f>アイテム項目!$E456</f>
        <v>0</v>
      </c>
      <c r="H456">
        <f>アイテム項目!$F456</f>
        <v>0</v>
      </c>
      <c r="I456">
        <f>アイテム項目!$G456</f>
        <v>0</v>
      </c>
      <c r="J456">
        <f>アイテム項目!$H456</f>
        <v>0</v>
      </c>
      <c r="K456">
        <f>アイテム項目!$I456</f>
        <v>0</v>
      </c>
    </row>
    <row r="457" spans="1:11">
      <c r="A457" t="str">
        <f>IFERROR(INDEX(T項目!$A:$A,MATCH(アイテムビューア!$C457,T項目!$D:$D,0)),"")</f>
        <v/>
      </c>
      <c r="B457" t="str">
        <f>IFERROR(INDEX(S項目!$B:$B,MATCH(アイテムビューア!$A457,S項目!$A:$A,0)),"")</f>
        <v/>
      </c>
      <c r="C457" t="str">
        <f>IFERROR(INDEX(C項目!$A:$A,MATCH(アイテムビューア!$E457,C項目!$D:$D,0)),"")</f>
        <v/>
      </c>
      <c r="D457" t="str">
        <f>IFERROR(INDEX(T項目!$E:$E,MATCH(アイテムビューア!$C457,T項目!$D:$D,0)),"")</f>
        <v/>
      </c>
      <c r="E457">
        <f>アイテム項目!$A457</f>
        <v>0</v>
      </c>
      <c r="F457" t="str">
        <f>IFERROR(INDEX(C項目!$E:$E,MATCH(アイテムビューア!$E457,C項目!$D:$D,0)),"")</f>
        <v/>
      </c>
      <c r="G457">
        <f>アイテム項目!$E457</f>
        <v>0</v>
      </c>
      <c r="H457">
        <f>アイテム項目!$F457</f>
        <v>0</v>
      </c>
      <c r="I457">
        <f>アイテム項目!$G457</f>
        <v>0</v>
      </c>
      <c r="J457">
        <f>アイテム項目!$H457</f>
        <v>0</v>
      </c>
      <c r="K457">
        <f>アイテム項目!$I457</f>
        <v>0</v>
      </c>
    </row>
    <row r="458" spans="1:11">
      <c r="A458" t="str">
        <f>IFERROR(INDEX(T項目!$A:$A,MATCH(アイテムビューア!$C458,T項目!$D:$D,0)),"")</f>
        <v/>
      </c>
      <c r="B458" t="str">
        <f>IFERROR(INDEX(S項目!$B:$B,MATCH(アイテムビューア!$A458,S項目!$A:$A,0)),"")</f>
        <v/>
      </c>
      <c r="C458" t="str">
        <f>IFERROR(INDEX(C項目!$A:$A,MATCH(アイテムビューア!$E458,C項目!$D:$D,0)),"")</f>
        <v/>
      </c>
      <c r="D458" t="str">
        <f>IFERROR(INDEX(T項目!$E:$E,MATCH(アイテムビューア!$C458,T項目!$D:$D,0)),"")</f>
        <v/>
      </c>
      <c r="E458">
        <f>アイテム項目!$A458</f>
        <v>0</v>
      </c>
      <c r="F458" t="str">
        <f>IFERROR(INDEX(C項目!$E:$E,MATCH(アイテムビューア!$E458,C項目!$D:$D,0)),"")</f>
        <v/>
      </c>
      <c r="G458">
        <f>アイテム項目!$E458</f>
        <v>0</v>
      </c>
      <c r="H458">
        <f>アイテム項目!$F458</f>
        <v>0</v>
      </c>
      <c r="I458">
        <f>アイテム項目!$G458</f>
        <v>0</v>
      </c>
      <c r="J458">
        <f>アイテム項目!$H458</f>
        <v>0</v>
      </c>
      <c r="K458">
        <f>アイテム項目!$I458</f>
        <v>0</v>
      </c>
    </row>
    <row r="459" spans="1:11">
      <c r="A459" t="str">
        <f>IFERROR(INDEX(T項目!$A:$A,MATCH(アイテムビューア!$C459,T項目!$D:$D,0)),"")</f>
        <v/>
      </c>
      <c r="B459" t="str">
        <f>IFERROR(INDEX(S項目!$B:$B,MATCH(アイテムビューア!$A459,S項目!$A:$A,0)),"")</f>
        <v/>
      </c>
      <c r="C459" t="str">
        <f>IFERROR(INDEX(C項目!$A:$A,MATCH(アイテムビューア!$E459,C項目!$D:$D,0)),"")</f>
        <v/>
      </c>
      <c r="D459" t="str">
        <f>IFERROR(INDEX(T項目!$E:$E,MATCH(アイテムビューア!$C459,T項目!$D:$D,0)),"")</f>
        <v/>
      </c>
      <c r="E459">
        <f>アイテム項目!$A459</f>
        <v>0</v>
      </c>
      <c r="F459" t="str">
        <f>IFERROR(INDEX(C項目!$E:$E,MATCH(アイテムビューア!$E459,C項目!$D:$D,0)),"")</f>
        <v/>
      </c>
      <c r="G459">
        <f>アイテム項目!$E459</f>
        <v>0</v>
      </c>
      <c r="H459">
        <f>アイテム項目!$F459</f>
        <v>0</v>
      </c>
      <c r="I459">
        <f>アイテム項目!$G459</f>
        <v>0</v>
      </c>
      <c r="J459">
        <f>アイテム項目!$H459</f>
        <v>0</v>
      </c>
      <c r="K459">
        <f>アイテム項目!$I459</f>
        <v>0</v>
      </c>
    </row>
    <row r="460" spans="1:11">
      <c r="A460" t="str">
        <f>IFERROR(INDEX(T項目!$A:$A,MATCH(アイテムビューア!$C460,T項目!$D:$D,0)),"")</f>
        <v/>
      </c>
      <c r="B460" t="str">
        <f>IFERROR(INDEX(S項目!$B:$B,MATCH(アイテムビューア!$A460,S項目!$A:$A,0)),"")</f>
        <v/>
      </c>
      <c r="C460" t="str">
        <f>IFERROR(INDEX(C項目!$A:$A,MATCH(アイテムビューア!$E460,C項目!$D:$D,0)),"")</f>
        <v/>
      </c>
      <c r="D460" t="str">
        <f>IFERROR(INDEX(T項目!$E:$E,MATCH(アイテムビューア!$C460,T項目!$D:$D,0)),"")</f>
        <v/>
      </c>
      <c r="E460">
        <f>アイテム項目!$A460</f>
        <v>0</v>
      </c>
      <c r="F460" t="str">
        <f>IFERROR(INDEX(C項目!$E:$E,MATCH(アイテムビューア!$E460,C項目!$D:$D,0)),"")</f>
        <v/>
      </c>
      <c r="G460">
        <f>アイテム項目!$E460</f>
        <v>0</v>
      </c>
      <c r="H460">
        <f>アイテム項目!$F460</f>
        <v>0</v>
      </c>
      <c r="I460">
        <f>アイテム項目!$G460</f>
        <v>0</v>
      </c>
      <c r="J460">
        <f>アイテム項目!$H460</f>
        <v>0</v>
      </c>
      <c r="K460">
        <f>アイテム項目!$I460</f>
        <v>0</v>
      </c>
    </row>
    <row r="461" spans="1:11">
      <c r="A461" t="str">
        <f>IFERROR(INDEX(T項目!$A:$A,MATCH(アイテムビューア!$C461,T項目!$D:$D,0)),"")</f>
        <v/>
      </c>
      <c r="B461" t="str">
        <f>IFERROR(INDEX(S項目!$B:$B,MATCH(アイテムビューア!$A461,S項目!$A:$A,0)),"")</f>
        <v/>
      </c>
      <c r="C461" t="str">
        <f>IFERROR(INDEX(C項目!$A:$A,MATCH(アイテムビューア!$E461,C項目!$D:$D,0)),"")</f>
        <v/>
      </c>
      <c r="D461" t="str">
        <f>IFERROR(INDEX(T項目!$E:$E,MATCH(アイテムビューア!$C461,T項目!$D:$D,0)),"")</f>
        <v/>
      </c>
      <c r="E461">
        <f>アイテム項目!$A461</f>
        <v>0</v>
      </c>
      <c r="F461" t="str">
        <f>IFERROR(INDEX(C項目!$E:$E,MATCH(アイテムビューア!$E461,C項目!$D:$D,0)),"")</f>
        <v/>
      </c>
      <c r="G461">
        <f>アイテム項目!$E461</f>
        <v>0</v>
      </c>
      <c r="H461">
        <f>アイテム項目!$F461</f>
        <v>0</v>
      </c>
      <c r="I461">
        <f>アイテム項目!$G461</f>
        <v>0</v>
      </c>
      <c r="J461">
        <f>アイテム項目!$H461</f>
        <v>0</v>
      </c>
      <c r="K461">
        <f>アイテム項目!$I461</f>
        <v>0</v>
      </c>
    </row>
    <row r="462" spans="1:11">
      <c r="A462" t="str">
        <f>IFERROR(INDEX(T項目!$A:$A,MATCH(アイテムビューア!$C462,T項目!$D:$D,0)),"")</f>
        <v/>
      </c>
      <c r="B462" t="str">
        <f>IFERROR(INDEX(S項目!$B:$B,MATCH(アイテムビューア!$A462,S項目!$A:$A,0)),"")</f>
        <v/>
      </c>
      <c r="C462" t="str">
        <f>IFERROR(INDEX(C項目!$A:$A,MATCH(アイテムビューア!$E462,C項目!$D:$D,0)),"")</f>
        <v/>
      </c>
      <c r="D462" t="str">
        <f>IFERROR(INDEX(T項目!$E:$E,MATCH(アイテムビューア!$C462,T項目!$D:$D,0)),"")</f>
        <v/>
      </c>
      <c r="E462">
        <f>アイテム項目!$A462</f>
        <v>0</v>
      </c>
      <c r="F462" t="str">
        <f>IFERROR(INDEX(C項目!$E:$E,MATCH(アイテムビューア!$E462,C項目!$D:$D,0)),"")</f>
        <v/>
      </c>
      <c r="G462">
        <f>アイテム項目!$E462</f>
        <v>0</v>
      </c>
      <c r="H462">
        <f>アイテム項目!$F462</f>
        <v>0</v>
      </c>
      <c r="I462">
        <f>アイテム項目!$G462</f>
        <v>0</v>
      </c>
      <c r="J462">
        <f>アイテム項目!$H462</f>
        <v>0</v>
      </c>
      <c r="K462">
        <f>アイテム項目!$I462</f>
        <v>0</v>
      </c>
    </row>
    <row r="463" spans="1:11">
      <c r="A463" t="str">
        <f>IFERROR(INDEX(T項目!$A:$A,MATCH(アイテムビューア!$C463,T項目!$D:$D,0)),"")</f>
        <v/>
      </c>
      <c r="B463" t="str">
        <f>IFERROR(INDEX(S項目!$B:$B,MATCH(アイテムビューア!$A463,S項目!$A:$A,0)),"")</f>
        <v/>
      </c>
      <c r="C463" t="str">
        <f>IFERROR(INDEX(C項目!$A:$A,MATCH(アイテムビューア!$E463,C項目!$D:$D,0)),"")</f>
        <v/>
      </c>
      <c r="D463" t="str">
        <f>IFERROR(INDEX(T項目!$E:$E,MATCH(アイテムビューア!$C463,T項目!$D:$D,0)),"")</f>
        <v/>
      </c>
      <c r="E463">
        <f>アイテム項目!$A463</f>
        <v>0</v>
      </c>
      <c r="F463" t="str">
        <f>IFERROR(INDEX(C項目!$E:$E,MATCH(アイテムビューア!$E463,C項目!$D:$D,0)),"")</f>
        <v/>
      </c>
      <c r="G463">
        <f>アイテム項目!$E463</f>
        <v>0</v>
      </c>
      <c r="H463">
        <f>アイテム項目!$F463</f>
        <v>0</v>
      </c>
      <c r="I463">
        <f>アイテム項目!$G463</f>
        <v>0</v>
      </c>
      <c r="J463">
        <f>アイテム項目!$H463</f>
        <v>0</v>
      </c>
      <c r="K463">
        <f>アイテム項目!$I463</f>
        <v>0</v>
      </c>
    </row>
    <row r="464" spans="1:11">
      <c r="A464" t="str">
        <f>IFERROR(INDEX(T項目!$A:$A,MATCH(アイテムビューア!$C464,T項目!$D:$D,0)),"")</f>
        <v/>
      </c>
      <c r="B464" t="str">
        <f>IFERROR(INDEX(S項目!$B:$B,MATCH(アイテムビューア!$A464,S項目!$A:$A,0)),"")</f>
        <v/>
      </c>
      <c r="C464" t="str">
        <f>IFERROR(INDEX(C項目!$A:$A,MATCH(アイテムビューア!$E464,C項目!$D:$D,0)),"")</f>
        <v/>
      </c>
      <c r="D464" t="str">
        <f>IFERROR(INDEX(T項目!$E:$E,MATCH(アイテムビューア!$C464,T項目!$D:$D,0)),"")</f>
        <v/>
      </c>
      <c r="E464">
        <f>アイテム項目!$A464</f>
        <v>0</v>
      </c>
      <c r="F464" t="str">
        <f>IFERROR(INDEX(C項目!$E:$E,MATCH(アイテムビューア!$E464,C項目!$D:$D,0)),"")</f>
        <v/>
      </c>
      <c r="G464">
        <f>アイテム項目!$E464</f>
        <v>0</v>
      </c>
      <c r="H464">
        <f>アイテム項目!$F464</f>
        <v>0</v>
      </c>
      <c r="I464">
        <f>アイテム項目!$G464</f>
        <v>0</v>
      </c>
      <c r="J464">
        <f>アイテム項目!$H464</f>
        <v>0</v>
      </c>
      <c r="K464">
        <f>アイテム項目!$I464</f>
        <v>0</v>
      </c>
    </row>
    <row r="465" spans="1:11">
      <c r="A465" t="str">
        <f>IFERROR(INDEX(T項目!$A:$A,MATCH(アイテムビューア!$C465,T項目!$D:$D,0)),"")</f>
        <v/>
      </c>
      <c r="B465" t="str">
        <f>IFERROR(INDEX(S項目!$B:$B,MATCH(アイテムビューア!$A465,S項目!$A:$A,0)),"")</f>
        <v/>
      </c>
      <c r="C465" t="str">
        <f>IFERROR(INDEX(C項目!$A:$A,MATCH(アイテムビューア!$E465,C項目!$D:$D,0)),"")</f>
        <v/>
      </c>
      <c r="D465" t="str">
        <f>IFERROR(INDEX(T項目!$E:$E,MATCH(アイテムビューア!$C465,T項目!$D:$D,0)),"")</f>
        <v/>
      </c>
      <c r="E465">
        <f>アイテム項目!$A465</f>
        <v>0</v>
      </c>
      <c r="F465" t="str">
        <f>IFERROR(INDEX(C項目!$E:$E,MATCH(アイテムビューア!$E465,C項目!$D:$D,0)),"")</f>
        <v/>
      </c>
      <c r="G465">
        <f>アイテム項目!$E465</f>
        <v>0</v>
      </c>
      <c r="H465">
        <f>アイテム項目!$F465</f>
        <v>0</v>
      </c>
      <c r="I465">
        <f>アイテム項目!$G465</f>
        <v>0</v>
      </c>
      <c r="J465">
        <f>アイテム項目!$H465</f>
        <v>0</v>
      </c>
      <c r="K465">
        <f>アイテム項目!$I465</f>
        <v>0</v>
      </c>
    </row>
    <row r="466" spans="1:11">
      <c r="A466" t="str">
        <f>IFERROR(INDEX(T項目!$A:$A,MATCH(アイテムビューア!$C466,T項目!$D:$D,0)),"")</f>
        <v/>
      </c>
      <c r="B466" t="str">
        <f>IFERROR(INDEX(S項目!$B:$B,MATCH(アイテムビューア!$A466,S項目!$A:$A,0)),"")</f>
        <v/>
      </c>
      <c r="C466" t="str">
        <f>IFERROR(INDEX(C項目!$A:$A,MATCH(アイテムビューア!$E466,C項目!$D:$D,0)),"")</f>
        <v/>
      </c>
      <c r="D466" t="str">
        <f>IFERROR(INDEX(T項目!$E:$E,MATCH(アイテムビューア!$C466,T項目!$D:$D,0)),"")</f>
        <v/>
      </c>
      <c r="E466">
        <f>アイテム項目!$A466</f>
        <v>0</v>
      </c>
      <c r="F466" t="str">
        <f>IFERROR(INDEX(C項目!$E:$E,MATCH(アイテムビューア!$E466,C項目!$D:$D,0)),"")</f>
        <v/>
      </c>
      <c r="G466">
        <f>アイテム項目!$E466</f>
        <v>0</v>
      </c>
      <c r="H466">
        <f>アイテム項目!$F466</f>
        <v>0</v>
      </c>
      <c r="I466">
        <f>アイテム項目!$G466</f>
        <v>0</v>
      </c>
      <c r="J466">
        <f>アイテム項目!$H466</f>
        <v>0</v>
      </c>
      <c r="K466">
        <f>アイテム項目!$I466</f>
        <v>0</v>
      </c>
    </row>
    <row r="467" spans="1:11">
      <c r="A467" t="str">
        <f>IFERROR(INDEX(T項目!$A:$A,MATCH(アイテムビューア!$C467,T項目!$D:$D,0)),"")</f>
        <v/>
      </c>
      <c r="B467" t="str">
        <f>IFERROR(INDEX(S項目!$B:$B,MATCH(アイテムビューア!$A467,S項目!$A:$A,0)),"")</f>
        <v/>
      </c>
      <c r="C467" t="str">
        <f>IFERROR(INDEX(C項目!$A:$A,MATCH(アイテムビューア!$E467,C項目!$D:$D,0)),"")</f>
        <v/>
      </c>
      <c r="D467" t="str">
        <f>IFERROR(INDEX(T項目!$E:$E,MATCH(アイテムビューア!$C467,T項目!$D:$D,0)),"")</f>
        <v/>
      </c>
      <c r="E467">
        <f>アイテム項目!$A467</f>
        <v>0</v>
      </c>
      <c r="F467" t="str">
        <f>IFERROR(INDEX(C項目!$E:$E,MATCH(アイテムビューア!$E467,C項目!$D:$D,0)),"")</f>
        <v/>
      </c>
      <c r="G467">
        <f>アイテム項目!$E467</f>
        <v>0</v>
      </c>
      <c r="H467">
        <f>アイテム項目!$F467</f>
        <v>0</v>
      </c>
      <c r="I467">
        <f>アイテム項目!$G467</f>
        <v>0</v>
      </c>
      <c r="J467">
        <f>アイテム項目!$H467</f>
        <v>0</v>
      </c>
      <c r="K467">
        <f>アイテム項目!$I467</f>
        <v>0</v>
      </c>
    </row>
    <row r="468" spans="1:11">
      <c r="A468" t="str">
        <f>IFERROR(INDEX(T項目!$A:$A,MATCH(アイテムビューア!$C468,T項目!$D:$D,0)),"")</f>
        <v/>
      </c>
      <c r="B468" t="str">
        <f>IFERROR(INDEX(S項目!$B:$B,MATCH(アイテムビューア!$A468,S項目!$A:$A,0)),"")</f>
        <v/>
      </c>
      <c r="C468" t="str">
        <f>IFERROR(INDEX(C項目!$A:$A,MATCH(アイテムビューア!$E468,C項目!$D:$D,0)),"")</f>
        <v/>
      </c>
      <c r="D468" t="str">
        <f>IFERROR(INDEX(T項目!$E:$E,MATCH(アイテムビューア!$C468,T項目!$D:$D,0)),"")</f>
        <v/>
      </c>
      <c r="E468">
        <f>アイテム項目!$A468</f>
        <v>0</v>
      </c>
      <c r="F468" t="str">
        <f>IFERROR(INDEX(C項目!$E:$E,MATCH(アイテムビューア!$E468,C項目!$D:$D,0)),"")</f>
        <v/>
      </c>
      <c r="G468">
        <f>アイテム項目!$E468</f>
        <v>0</v>
      </c>
      <c r="H468">
        <f>アイテム項目!$F468</f>
        <v>0</v>
      </c>
      <c r="I468">
        <f>アイテム項目!$G468</f>
        <v>0</v>
      </c>
      <c r="J468">
        <f>アイテム項目!$H468</f>
        <v>0</v>
      </c>
      <c r="K468">
        <f>アイテム項目!$I468</f>
        <v>0</v>
      </c>
    </row>
    <row r="469" spans="1:11">
      <c r="A469" t="str">
        <f>IFERROR(INDEX(T項目!$A:$A,MATCH(アイテムビューア!$C469,T項目!$D:$D,0)),"")</f>
        <v/>
      </c>
      <c r="B469" t="str">
        <f>IFERROR(INDEX(S項目!$B:$B,MATCH(アイテムビューア!$A469,S項目!$A:$A,0)),"")</f>
        <v/>
      </c>
      <c r="C469" t="str">
        <f>IFERROR(INDEX(C項目!$A:$A,MATCH(アイテムビューア!$E469,C項目!$D:$D,0)),"")</f>
        <v/>
      </c>
      <c r="D469" t="str">
        <f>IFERROR(INDEX(T項目!$E:$E,MATCH(アイテムビューア!$C469,T項目!$D:$D,0)),"")</f>
        <v/>
      </c>
      <c r="E469">
        <f>アイテム項目!$A469</f>
        <v>0</v>
      </c>
      <c r="F469" t="str">
        <f>IFERROR(INDEX(C項目!$E:$E,MATCH(アイテムビューア!$E469,C項目!$D:$D,0)),"")</f>
        <v/>
      </c>
      <c r="G469">
        <f>アイテム項目!$E469</f>
        <v>0</v>
      </c>
      <c r="H469">
        <f>アイテム項目!$F469</f>
        <v>0</v>
      </c>
      <c r="I469">
        <f>アイテム項目!$G469</f>
        <v>0</v>
      </c>
      <c r="J469">
        <f>アイテム項目!$H469</f>
        <v>0</v>
      </c>
      <c r="K469">
        <f>アイテム項目!$I469</f>
        <v>0</v>
      </c>
    </row>
    <row r="470" spans="1:11">
      <c r="A470" t="str">
        <f>IFERROR(INDEX(T項目!$A:$A,MATCH(アイテムビューア!$C470,T項目!$D:$D,0)),"")</f>
        <v/>
      </c>
      <c r="B470" t="str">
        <f>IFERROR(INDEX(S項目!$B:$B,MATCH(アイテムビューア!$A470,S項目!$A:$A,0)),"")</f>
        <v/>
      </c>
      <c r="C470" t="str">
        <f>IFERROR(INDEX(C項目!$A:$A,MATCH(アイテムビューア!$E470,C項目!$D:$D,0)),"")</f>
        <v/>
      </c>
      <c r="D470" t="str">
        <f>IFERROR(INDEX(T項目!$E:$E,MATCH(アイテムビューア!$C470,T項目!$D:$D,0)),"")</f>
        <v/>
      </c>
      <c r="E470">
        <f>アイテム項目!$A470</f>
        <v>0</v>
      </c>
      <c r="F470" t="str">
        <f>IFERROR(INDEX(C項目!$E:$E,MATCH(アイテムビューア!$E470,C項目!$D:$D,0)),"")</f>
        <v/>
      </c>
      <c r="G470">
        <f>アイテム項目!$E470</f>
        <v>0</v>
      </c>
      <c r="H470">
        <f>アイテム項目!$F470</f>
        <v>0</v>
      </c>
      <c r="I470">
        <f>アイテム項目!$G470</f>
        <v>0</v>
      </c>
      <c r="J470">
        <f>アイテム項目!$H470</f>
        <v>0</v>
      </c>
      <c r="K470">
        <f>アイテム項目!$I470</f>
        <v>0</v>
      </c>
    </row>
    <row r="471" spans="1:11">
      <c r="A471" t="str">
        <f>IFERROR(INDEX(T項目!$A:$A,MATCH(アイテムビューア!$C471,T項目!$D:$D,0)),"")</f>
        <v/>
      </c>
      <c r="B471" t="str">
        <f>IFERROR(INDEX(S項目!$B:$B,MATCH(アイテムビューア!$A471,S項目!$A:$A,0)),"")</f>
        <v/>
      </c>
      <c r="C471" t="str">
        <f>IFERROR(INDEX(C項目!$A:$A,MATCH(アイテムビューア!$E471,C項目!$D:$D,0)),"")</f>
        <v/>
      </c>
      <c r="D471" t="str">
        <f>IFERROR(INDEX(T項目!$E:$E,MATCH(アイテムビューア!$C471,T項目!$D:$D,0)),"")</f>
        <v/>
      </c>
      <c r="E471">
        <f>アイテム項目!$A471</f>
        <v>0</v>
      </c>
      <c r="F471" t="str">
        <f>IFERROR(INDEX(C項目!$E:$E,MATCH(アイテムビューア!$E471,C項目!$D:$D,0)),"")</f>
        <v/>
      </c>
      <c r="G471">
        <f>アイテム項目!$E471</f>
        <v>0</v>
      </c>
      <c r="H471">
        <f>アイテム項目!$F471</f>
        <v>0</v>
      </c>
      <c r="I471">
        <f>アイテム項目!$G471</f>
        <v>0</v>
      </c>
      <c r="J471">
        <f>アイテム項目!$H471</f>
        <v>0</v>
      </c>
      <c r="K471">
        <f>アイテム項目!$I471</f>
        <v>0</v>
      </c>
    </row>
    <row r="472" spans="1:11">
      <c r="A472" t="str">
        <f>IFERROR(INDEX(T項目!$A:$A,MATCH(アイテムビューア!$C472,T項目!$D:$D,0)),"")</f>
        <v/>
      </c>
      <c r="B472" t="str">
        <f>IFERROR(INDEX(S項目!$B:$B,MATCH(アイテムビューア!$A472,S項目!$A:$A,0)),"")</f>
        <v/>
      </c>
      <c r="C472" t="str">
        <f>IFERROR(INDEX(C項目!$A:$A,MATCH(アイテムビューア!$E472,C項目!$D:$D,0)),"")</f>
        <v/>
      </c>
      <c r="D472" t="str">
        <f>IFERROR(INDEX(T項目!$E:$E,MATCH(アイテムビューア!$C472,T項目!$D:$D,0)),"")</f>
        <v/>
      </c>
      <c r="E472">
        <f>アイテム項目!$A472</f>
        <v>0</v>
      </c>
      <c r="F472" t="str">
        <f>IFERROR(INDEX(C項目!$E:$E,MATCH(アイテムビューア!$E472,C項目!$D:$D,0)),"")</f>
        <v/>
      </c>
      <c r="G472">
        <f>アイテム項目!$E472</f>
        <v>0</v>
      </c>
      <c r="H472">
        <f>アイテム項目!$F472</f>
        <v>0</v>
      </c>
      <c r="I472">
        <f>アイテム項目!$G472</f>
        <v>0</v>
      </c>
      <c r="J472">
        <f>アイテム項目!$H472</f>
        <v>0</v>
      </c>
      <c r="K472">
        <f>アイテム項目!$I472</f>
        <v>0</v>
      </c>
    </row>
    <row r="473" spans="1:11">
      <c r="A473" t="str">
        <f>IFERROR(INDEX(T項目!$A:$A,MATCH(アイテムビューア!$C473,T項目!$D:$D,0)),"")</f>
        <v/>
      </c>
      <c r="B473" t="str">
        <f>IFERROR(INDEX(S項目!$B:$B,MATCH(アイテムビューア!$A473,S項目!$A:$A,0)),"")</f>
        <v/>
      </c>
      <c r="C473" t="str">
        <f>IFERROR(INDEX(C項目!$A:$A,MATCH(アイテムビューア!$E473,C項目!$D:$D,0)),"")</f>
        <v/>
      </c>
      <c r="D473" t="str">
        <f>IFERROR(INDEX(T項目!$E:$E,MATCH(アイテムビューア!$C473,T項目!$D:$D,0)),"")</f>
        <v/>
      </c>
      <c r="E473">
        <f>アイテム項目!$A473</f>
        <v>0</v>
      </c>
      <c r="F473" t="str">
        <f>IFERROR(INDEX(C項目!$E:$E,MATCH(アイテムビューア!$E473,C項目!$D:$D,0)),"")</f>
        <v/>
      </c>
      <c r="G473">
        <f>アイテム項目!$E473</f>
        <v>0</v>
      </c>
      <c r="H473">
        <f>アイテム項目!$F473</f>
        <v>0</v>
      </c>
      <c r="I473">
        <f>アイテム項目!$G473</f>
        <v>0</v>
      </c>
      <c r="J473">
        <f>アイテム項目!$H473</f>
        <v>0</v>
      </c>
      <c r="K473">
        <f>アイテム項目!$I473</f>
        <v>0</v>
      </c>
    </row>
    <row r="474" spans="1:11">
      <c r="A474" t="str">
        <f>IFERROR(INDEX(T項目!$A:$A,MATCH(アイテムビューア!$C474,T項目!$D:$D,0)),"")</f>
        <v/>
      </c>
      <c r="B474" t="str">
        <f>IFERROR(INDEX(S項目!$B:$B,MATCH(アイテムビューア!$A474,S項目!$A:$A,0)),"")</f>
        <v/>
      </c>
      <c r="C474" t="str">
        <f>IFERROR(INDEX(C項目!$A:$A,MATCH(アイテムビューア!$E474,C項目!$D:$D,0)),"")</f>
        <v/>
      </c>
      <c r="D474" t="str">
        <f>IFERROR(INDEX(T項目!$E:$E,MATCH(アイテムビューア!$C474,T項目!$D:$D,0)),"")</f>
        <v/>
      </c>
      <c r="E474">
        <f>アイテム項目!$A474</f>
        <v>0</v>
      </c>
      <c r="F474" t="str">
        <f>IFERROR(INDEX(C項目!$E:$E,MATCH(アイテムビューア!$E474,C項目!$D:$D,0)),"")</f>
        <v/>
      </c>
      <c r="G474">
        <f>アイテム項目!$E474</f>
        <v>0</v>
      </c>
      <c r="H474">
        <f>アイテム項目!$F474</f>
        <v>0</v>
      </c>
      <c r="I474">
        <f>アイテム項目!$G474</f>
        <v>0</v>
      </c>
      <c r="J474">
        <f>アイテム項目!$H474</f>
        <v>0</v>
      </c>
      <c r="K474">
        <f>アイテム項目!$I474</f>
        <v>0</v>
      </c>
    </row>
    <row r="475" spans="1:11">
      <c r="A475" t="str">
        <f>IFERROR(INDEX(T項目!$A:$A,MATCH(アイテムビューア!$C475,T項目!$D:$D,0)),"")</f>
        <v/>
      </c>
      <c r="B475" t="str">
        <f>IFERROR(INDEX(S項目!$B:$B,MATCH(アイテムビューア!$A475,S項目!$A:$A,0)),"")</f>
        <v/>
      </c>
      <c r="C475" t="str">
        <f>IFERROR(INDEX(C項目!$A:$A,MATCH(アイテムビューア!$E475,C項目!$D:$D,0)),"")</f>
        <v/>
      </c>
      <c r="D475" t="str">
        <f>IFERROR(INDEX(T項目!$E:$E,MATCH(アイテムビューア!$C475,T項目!$D:$D,0)),"")</f>
        <v/>
      </c>
      <c r="E475">
        <f>アイテム項目!$A475</f>
        <v>0</v>
      </c>
      <c r="F475" t="str">
        <f>IFERROR(INDEX(C項目!$E:$E,MATCH(アイテムビューア!$E475,C項目!$D:$D,0)),"")</f>
        <v/>
      </c>
      <c r="G475">
        <f>アイテム項目!$E475</f>
        <v>0</v>
      </c>
      <c r="H475">
        <f>アイテム項目!$F475</f>
        <v>0</v>
      </c>
      <c r="I475">
        <f>アイテム項目!$G475</f>
        <v>0</v>
      </c>
      <c r="J475">
        <f>アイテム項目!$H475</f>
        <v>0</v>
      </c>
      <c r="K475">
        <f>アイテム項目!$I475</f>
        <v>0</v>
      </c>
    </row>
    <row r="476" spans="1:11">
      <c r="A476" t="str">
        <f>IFERROR(INDEX(T項目!$A:$A,MATCH(アイテムビューア!$C476,T項目!$D:$D,0)),"")</f>
        <v/>
      </c>
      <c r="B476" t="str">
        <f>IFERROR(INDEX(S項目!$B:$B,MATCH(アイテムビューア!$A476,S項目!$A:$A,0)),"")</f>
        <v/>
      </c>
      <c r="C476" t="str">
        <f>IFERROR(INDEX(C項目!$A:$A,MATCH(アイテムビューア!$E476,C項目!$D:$D,0)),"")</f>
        <v/>
      </c>
      <c r="D476" t="str">
        <f>IFERROR(INDEX(T項目!$E:$E,MATCH(アイテムビューア!$C476,T項目!$D:$D,0)),"")</f>
        <v/>
      </c>
      <c r="E476">
        <f>アイテム項目!$A476</f>
        <v>0</v>
      </c>
      <c r="F476" t="str">
        <f>IFERROR(INDEX(C項目!$E:$E,MATCH(アイテムビューア!$E476,C項目!$D:$D,0)),"")</f>
        <v/>
      </c>
      <c r="G476">
        <f>アイテム項目!$E476</f>
        <v>0</v>
      </c>
      <c r="H476">
        <f>アイテム項目!$F476</f>
        <v>0</v>
      </c>
      <c r="I476">
        <f>アイテム項目!$G476</f>
        <v>0</v>
      </c>
      <c r="J476">
        <f>アイテム項目!$H476</f>
        <v>0</v>
      </c>
      <c r="K476">
        <f>アイテム項目!$I476</f>
        <v>0</v>
      </c>
    </row>
    <row r="477" spans="1:11">
      <c r="A477" t="str">
        <f>IFERROR(INDEX(T項目!$A:$A,MATCH(アイテムビューア!$C477,T項目!$D:$D,0)),"")</f>
        <v/>
      </c>
      <c r="B477" t="str">
        <f>IFERROR(INDEX(S項目!$B:$B,MATCH(アイテムビューア!$A477,S項目!$A:$A,0)),"")</f>
        <v/>
      </c>
      <c r="C477" t="str">
        <f>IFERROR(INDEX(C項目!$A:$A,MATCH(アイテムビューア!$E477,C項目!$D:$D,0)),"")</f>
        <v/>
      </c>
      <c r="D477" t="str">
        <f>IFERROR(INDEX(T項目!$E:$E,MATCH(アイテムビューア!$C477,T項目!$D:$D,0)),"")</f>
        <v/>
      </c>
      <c r="E477">
        <f>アイテム項目!$A477</f>
        <v>0</v>
      </c>
      <c r="F477" t="str">
        <f>IFERROR(INDEX(C項目!$E:$E,MATCH(アイテムビューア!$E477,C項目!$D:$D,0)),"")</f>
        <v/>
      </c>
      <c r="G477">
        <f>アイテム項目!$E477</f>
        <v>0</v>
      </c>
      <c r="H477">
        <f>アイテム項目!$F477</f>
        <v>0</v>
      </c>
      <c r="I477">
        <f>アイテム項目!$G477</f>
        <v>0</v>
      </c>
      <c r="J477">
        <f>アイテム項目!$H477</f>
        <v>0</v>
      </c>
      <c r="K477">
        <f>アイテム項目!$I477</f>
        <v>0</v>
      </c>
    </row>
    <row r="478" spans="1:11">
      <c r="A478" t="str">
        <f>IFERROR(INDEX(T項目!$A:$A,MATCH(アイテムビューア!$C478,T項目!$D:$D,0)),"")</f>
        <v/>
      </c>
      <c r="B478" t="str">
        <f>IFERROR(INDEX(S項目!$B:$B,MATCH(アイテムビューア!$A478,S項目!$A:$A,0)),"")</f>
        <v/>
      </c>
      <c r="C478" t="str">
        <f>IFERROR(INDEX(C項目!$A:$A,MATCH(アイテムビューア!$E478,C項目!$D:$D,0)),"")</f>
        <v/>
      </c>
      <c r="D478" t="str">
        <f>IFERROR(INDEX(T項目!$E:$E,MATCH(アイテムビューア!$C478,T項目!$D:$D,0)),"")</f>
        <v/>
      </c>
      <c r="E478">
        <f>アイテム項目!$A478</f>
        <v>0</v>
      </c>
      <c r="F478" t="str">
        <f>IFERROR(INDEX(C項目!$E:$E,MATCH(アイテムビューア!$E478,C項目!$D:$D,0)),"")</f>
        <v/>
      </c>
      <c r="G478">
        <f>アイテム項目!$E478</f>
        <v>0</v>
      </c>
      <c r="H478">
        <f>アイテム項目!$F478</f>
        <v>0</v>
      </c>
      <c r="I478">
        <f>アイテム項目!$G478</f>
        <v>0</v>
      </c>
      <c r="J478">
        <f>アイテム項目!$H478</f>
        <v>0</v>
      </c>
      <c r="K478">
        <f>アイテム項目!$I478</f>
        <v>0</v>
      </c>
    </row>
    <row r="479" spans="1:11">
      <c r="A479" t="str">
        <f>IFERROR(INDEX(T項目!$A:$A,MATCH(アイテムビューア!$C479,T項目!$D:$D,0)),"")</f>
        <v/>
      </c>
      <c r="B479" t="str">
        <f>IFERROR(INDEX(S項目!$B:$B,MATCH(アイテムビューア!$A479,S項目!$A:$A,0)),"")</f>
        <v/>
      </c>
      <c r="C479" t="str">
        <f>IFERROR(INDEX(C項目!$A:$A,MATCH(アイテムビューア!$E479,C項目!$D:$D,0)),"")</f>
        <v/>
      </c>
      <c r="D479" t="str">
        <f>IFERROR(INDEX(T項目!$E:$E,MATCH(アイテムビューア!$C479,T項目!$D:$D,0)),"")</f>
        <v/>
      </c>
      <c r="E479">
        <f>アイテム項目!$A479</f>
        <v>0</v>
      </c>
      <c r="F479" t="str">
        <f>IFERROR(INDEX(C項目!$E:$E,MATCH(アイテムビューア!$E479,C項目!$D:$D,0)),"")</f>
        <v/>
      </c>
      <c r="G479">
        <f>アイテム項目!$E479</f>
        <v>0</v>
      </c>
      <c r="H479">
        <f>アイテム項目!$F479</f>
        <v>0</v>
      </c>
      <c r="I479">
        <f>アイテム項目!$G479</f>
        <v>0</v>
      </c>
      <c r="J479">
        <f>アイテム項目!$H479</f>
        <v>0</v>
      </c>
      <c r="K479">
        <f>アイテム項目!$I479</f>
        <v>0</v>
      </c>
    </row>
    <row r="480" spans="1:11">
      <c r="A480" t="str">
        <f>IFERROR(INDEX(T項目!$A:$A,MATCH(アイテムビューア!$C480,T項目!$D:$D,0)),"")</f>
        <v/>
      </c>
      <c r="B480" t="str">
        <f>IFERROR(INDEX(S項目!$B:$B,MATCH(アイテムビューア!$A480,S項目!$A:$A,0)),"")</f>
        <v/>
      </c>
      <c r="C480" t="str">
        <f>IFERROR(INDEX(C項目!$A:$A,MATCH(アイテムビューア!$E480,C項目!$D:$D,0)),"")</f>
        <v/>
      </c>
      <c r="D480" t="str">
        <f>IFERROR(INDEX(T項目!$E:$E,MATCH(アイテムビューア!$C480,T項目!$D:$D,0)),"")</f>
        <v/>
      </c>
      <c r="E480">
        <f>アイテム項目!$A480</f>
        <v>0</v>
      </c>
      <c r="F480" t="str">
        <f>IFERROR(INDEX(C項目!$E:$E,MATCH(アイテムビューア!$E480,C項目!$D:$D,0)),"")</f>
        <v/>
      </c>
      <c r="G480">
        <f>アイテム項目!$E480</f>
        <v>0</v>
      </c>
      <c r="H480">
        <f>アイテム項目!$F480</f>
        <v>0</v>
      </c>
      <c r="I480">
        <f>アイテム項目!$G480</f>
        <v>0</v>
      </c>
      <c r="J480">
        <f>アイテム項目!$H480</f>
        <v>0</v>
      </c>
      <c r="K480">
        <f>アイテム項目!$I480</f>
        <v>0</v>
      </c>
    </row>
    <row r="481" spans="1:11">
      <c r="A481" t="str">
        <f>IFERROR(INDEX(T項目!$A:$A,MATCH(アイテムビューア!$C481,T項目!$D:$D,0)),"")</f>
        <v/>
      </c>
      <c r="B481" t="str">
        <f>IFERROR(INDEX(S項目!$B:$B,MATCH(アイテムビューア!$A481,S項目!$A:$A,0)),"")</f>
        <v/>
      </c>
      <c r="C481" t="str">
        <f>IFERROR(INDEX(C項目!$A:$A,MATCH(アイテムビューア!$E481,C項目!$D:$D,0)),"")</f>
        <v/>
      </c>
      <c r="D481" t="str">
        <f>IFERROR(INDEX(T項目!$E:$E,MATCH(アイテムビューア!$C481,T項目!$D:$D,0)),"")</f>
        <v/>
      </c>
      <c r="E481">
        <f>アイテム項目!$A481</f>
        <v>0</v>
      </c>
      <c r="F481" t="str">
        <f>IFERROR(INDEX(C項目!$E:$E,MATCH(アイテムビューア!$E481,C項目!$D:$D,0)),"")</f>
        <v/>
      </c>
      <c r="G481">
        <f>アイテム項目!$E481</f>
        <v>0</v>
      </c>
      <c r="H481">
        <f>アイテム項目!$F481</f>
        <v>0</v>
      </c>
      <c r="I481">
        <f>アイテム項目!$G481</f>
        <v>0</v>
      </c>
      <c r="J481">
        <f>アイテム項目!$H481</f>
        <v>0</v>
      </c>
      <c r="K481">
        <f>アイテム項目!$I481</f>
        <v>0</v>
      </c>
    </row>
    <row r="482" spans="1:11">
      <c r="A482" t="str">
        <f>IFERROR(INDEX(T項目!$A:$A,MATCH(アイテムビューア!$C482,T項目!$D:$D,0)),"")</f>
        <v/>
      </c>
      <c r="B482" t="str">
        <f>IFERROR(INDEX(S項目!$B:$B,MATCH(アイテムビューア!$A482,S項目!$A:$A,0)),"")</f>
        <v/>
      </c>
      <c r="C482" t="str">
        <f>IFERROR(INDEX(C項目!$A:$A,MATCH(アイテムビューア!$E482,C項目!$D:$D,0)),"")</f>
        <v/>
      </c>
      <c r="D482" t="str">
        <f>IFERROR(INDEX(T項目!$E:$E,MATCH(アイテムビューア!$C482,T項目!$D:$D,0)),"")</f>
        <v/>
      </c>
      <c r="E482">
        <f>アイテム項目!$A482</f>
        <v>0</v>
      </c>
      <c r="F482" t="str">
        <f>IFERROR(INDEX(C項目!$E:$E,MATCH(アイテムビューア!$E482,C項目!$D:$D,0)),"")</f>
        <v/>
      </c>
      <c r="G482">
        <f>アイテム項目!$E482</f>
        <v>0</v>
      </c>
      <c r="H482">
        <f>アイテム項目!$F482</f>
        <v>0</v>
      </c>
      <c r="I482">
        <f>アイテム項目!$G482</f>
        <v>0</v>
      </c>
      <c r="J482">
        <f>アイテム項目!$H482</f>
        <v>0</v>
      </c>
      <c r="K482">
        <f>アイテム項目!$I482</f>
        <v>0</v>
      </c>
    </row>
    <row r="483" spans="1:11">
      <c r="A483" t="str">
        <f>IFERROR(INDEX(T項目!$A:$A,MATCH(アイテムビューア!$C483,T項目!$D:$D,0)),"")</f>
        <v/>
      </c>
      <c r="B483" t="str">
        <f>IFERROR(INDEX(S項目!$B:$B,MATCH(アイテムビューア!$A483,S項目!$A:$A,0)),"")</f>
        <v/>
      </c>
      <c r="C483" t="str">
        <f>IFERROR(INDEX(C項目!$A:$A,MATCH(アイテムビューア!$E483,C項目!$D:$D,0)),"")</f>
        <v/>
      </c>
      <c r="D483" t="str">
        <f>IFERROR(INDEX(T項目!$E:$E,MATCH(アイテムビューア!$C483,T項目!$D:$D,0)),"")</f>
        <v/>
      </c>
      <c r="E483">
        <f>アイテム項目!$A483</f>
        <v>0</v>
      </c>
      <c r="F483" t="str">
        <f>IFERROR(INDEX(C項目!$E:$E,MATCH(アイテムビューア!$E483,C項目!$D:$D,0)),"")</f>
        <v/>
      </c>
      <c r="G483">
        <f>アイテム項目!$E483</f>
        <v>0</v>
      </c>
      <c r="H483">
        <f>アイテム項目!$F483</f>
        <v>0</v>
      </c>
      <c r="I483">
        <f>アイテム項目!$G483</f>
        <v>0</v>
      </c>
      <c r="J483">
        <f>アイテム項目!$H483</f>
        <v>0</v>
      </c>
      <c r="K483">
        <f>アイテム項目!$I483</f>
        <v>0</v>
      </c>
    </row>
    <row r="484" spans="1:11">
      <c r="A484" t="str">
        <f>IFERROR(INDEX(T項目!$A:$A,MATCH(アイテムビューア!$C484,T項目!$D:$D,0)),"")</f>
        <v/>
      </c>
      <c r="B484" t="str">
        <f>IFERROR(INDEX(S項目!$B:$B,MATCH(アイテムビューア!$A484,S項目!$A:$A,0)),"")</f>
        <v/>
      </c>
      <c r="C484" t="str">
        <f>IFERROR(INDEX(C項目!$A:$A,MATCH(アイテムビューア!$E484,C項目!$D:$D,0)),"")</f>
        <v/>
      </c>
      <c r="D484" t="str">
        <f>IFERROR(INDEX(T項目!$E:$E,MATCH(アイテムビューア!$C484,T項目!$D:$D,0)),"")</f>
        <v/>
      </c>
      <c r="E484">
        <f>アイテム項目!$A484</f>
        <v>0</v>
      </c>
      <c r="F484" t="str">
        <f>IFERROR(INDEX(C項目!$E:$E,MATCH(アイテムビューア!$E484,C項目!$D:$D,0)),"")</f>
        <v/>
      </c>
      <c r="G484">
        <f>アイテム項目!$E484</f>
        <v>0</v>
      </c>
      <c r="H484">
        <f>アイテム項目!$F484</f>
        <v>0</v>
      </c>
      <c r="I484">
        <f>アイテム項目!$G484</f>
        <v>0</v>
      </c>
      <c r="J484">
        <f>アイテム項目!$H484</f>
        <v>0</v>
      </c>
      <c r="K484">
        <f>アイテム項目!$I484</f>
        <v>0</v>
      </c>
    </row>
    <row r="485" spans="1:11">
      <c r="A485" t="str">
        <f>IFERROR(INDEX(T項目!$A:$A,MATCH(アイテムビューア!$C485,T項目!$D:$D,0)),"")</f>
        <v/>
      </c>
      <c r="B485" t="str">
        <f>IFERROR(INDEX(S項目!$B:$B,MATCH(アイテムビューア!$A485,S項目!$A:$A,0)),"")</f>
        <v/>
      </c>
      <c r="C485" t="str">
        <f>IFERROR(INDEX(C項目!$A:$A,MATCH(アイテムビューア!$E485,C項目!$D:$D,0)),"")</f>
        <v/>
      </c>
      <c r="D485" t="str">
        <f>IFERROR(INDEX(T項目!$E:$E,MATCH(アイテムビューア!$C485,T項目!$D:$D,0)),"")</f>
        <v/>
      </c>
      <c r="E485">
        <f>アイテム項目!$A485</f>
        <v>0</v>
      </c>
      <c r="F485" t="str">
        <f>IFERROR(INDEX(C項目!$E:$E,MATCH(アイテムビューア!$E485,C項目!$D:$D,0)),"")</f>
        <v/>
      </c>
      <c r="G485">
        <f>アイテム項目!$E485</f>
        <v>0</v>
      </c>
      <c r="H485">
        <f>アイテム項目!$F485</f>
        <v>0</v>
      </c>
      <c r="I485">
        <f>アイテム項目!$G485</f>
        <v>0</v>
      </c>
      <c r="J485">
        <f>アイテム項目!$H485</f>
        <v>0</v>
      </c>
      <c r="K485">
        <f>アイテム項目!$I485</f>
        <v>0</v>
      </c>
    </row>
    <row r="486" spans="1:11">
      <c r="A486" t="str">
        <f>IFERROR(INDEX(T項目!$A:$A,MATCH(アイテムビューア!$C486,T項目!$D:$D,0)),"")</f>
        <v/>
      </c>
      <c r="B486" t="str">
        <f>IFERROR(INDEX(S項目!$B:$B,MATCH(アイテムビューア!$A486,S項目!$A:$A,0)),"")</f>
        <v/>
      </c>
      <c r="C486" t="str">
        <f>IFERROR(INDEX(C項目!$A:$A,MATCH(アイテムビューア!$E486,C項目!$D:$D,0)),"")</f>
        <v/>
      </c>
      <c r="D486" t="str">
        <f>IFERROR(INDEX(T項目!$E:$E,MATCH(アイテムビューア!$C486,T項目!$D:$D,0)),"")</f>
        <v/>
      </c>
      <c r="E486">
        <f>アイテム項目!$A486</f>
        <v>0</v>
      </c>
      <c r="F486" t="str">
        <f>IFERROR(INDEX(C項目!$E:$E,MATCH(アイテムビューア!$E486,C項目!$D:$D,0)),"")</f>
        <v/>
      </c>
      <c r="G486">
        <f>アイテム項目!$E486</f>
        <v>0</v>
      </c>
      <c r="H486">
        <f>アイテム項目!$F486</f>
        <v>0</v>
      </c>
      <c r="I486">
        <f>アイテム項目!$G486</f>
        <v>0</v>
      </c>
      <c r="J486">
        <f>アイテム項目!$H486</f>
        <v>0</v>
      </c>
      <c r="K486">
        <f>アイテム項目!$I486</f>
        <v>0</v>
      </c>
    </row>
    <row r="487" spans="1:11">
      <c r="A487" t="str">
        <f>IFERROR(INDEX(T項目!$A:$A,MATCH(アイテムビューア!$C487,T項目!$D:$D,0)),"")</f>
        <v/>
      </c>
      <c r="B487" t="str">
        <f>IFERROR(INDEX(S項目!$B:$B,MATCH(アイテムビューア!$A487,S項目!$A:$A,0)),"")</f>
        <v/>
      </c>
      <c r="C487" t="str">
        <f>IFERROR(INDEX(C項目!$A:$A,MATCH(アイテムビューア!$E487,C項目!$D:$D,0)),"")</f>
        <v/>
      </c>
      <c r="D487" t="str">
        <f>IFERROR(INDEX(T項目!$E:$E,MATCH(アイテムビューア!$C487,T項目!$D:$D,0)),"")</f>
        <v/>
      </c>
      <c r="E487">
        <f>アイテム項目!$A487</f>
        <v>0</v>
      </c>
      <c r="F487" t="str">
        <f>IFERROR(INDEX(C項目!$E:$E,MATCH(アイテムビューア!$E487,C項目!$D:$D,0)),"")</f>
        <v/>
      </c>
      <c r="G487">
        <f>アイテム項目!$E487</f>
        <v>0</v>
      </c>
      <c r="H487">
        <f>アイテム項目!$F487</f>
        <v>0</v>
      </c>
      <c r="I487">
        <f>アイテム項目!$G487</f>
        <v>0</v>
      </c>
      <c r="J487">
        <f>アイテム項目!$H487</f>
        <v>0</v>
      </c>
      <c r="K487">
        <f>アイテム項目!$I487</f>
        <v>0</v>
      </c>
    </row>
    <row r="488" spans="1:11">
      <c r="A488" t="str">
        <f>IFERROR(INDEX(T項目!$A:$A,MATCH(アイテムビューア!$C488,T項目!$D:$D,0)),"")</f>
        <v/>
      </c>
      <c r="B488" t="str">
        <f>IFERROR(INDEX(S項目!$B:$B,MATCH(アイテムビューア!$A488,S項目!$A:$A,0)),"")</f>
        <v/>
      </c>
      <c r="C488" t="str">
        <f>IFERROR(INDEX(C項目!$A:$A,MATCH(アイテムビューア!$E488,C項目!$D:$D,0)),"")</f>
        <v/>
      </c>
      <c r="D488" t="str">
        <f>IFERROR(INDEX(T項目!$E:$E,MATCH(アイテムビューア!$C488,T項目!$D:$D,0)),"")</f>
        <v/>
      </c>
      <c r="E488">
        <f>アイテム項目!$A488</f>
        <v>0</v>
      </c>
      <c r="F488" t="str">
        <f>IFERROR(INDEX(C項目!$E:$E,MATCH(アイテムビューア!$E488,C項目!$D:$D,0)),"")</f>
        <v/>
      </c>
      <c r="G488">
        <f>アイテム項目!$E488</f>
        <v>0</v>
      </c>
      <c r="H488">
        <f>アイテム項目!$F488</f>
        <v>0</v>
      </c>
      <c r="I488">
        <f>アイテム項目!$G488</f>
        <v>0</v>
      </c>
      <c r="J488">
        <f>アイテム項目!$H488</f>
        <v>0</v>
      </c>
      <c r="K488">
        <f>アイテム項目!$I488</f>
        <v>0</v>
      </c>
    </row>
    <row r="489" spans="1:11">
      <c r="A489" t="str">
        <f>IFERROR(INDEX(T項目!$A:$A,MATCH(アイテムビューア!$C489,T項目!$D:$D,0)),"")</f>
        <v/>
      </c>
      <c r="B489" t="str">
        <f>IFERROR(INDEX(S項目!$B:$B,MATCH(アイテムビューア!$A489,S項目!$A:$A,0)),"")</f>
        <v/>
      </c>
      <c r="C489" t="str">
        <f>IFERROR(INDEX(C項目!$A:$A,MATCH(アイテムビューア!$E489,C項目!$D:$D,0)),"")</f>
        <v/>
      </c>
      <c r="D489" t="str">
        <f>IFERROR(INDEX(T項目!$E:$E,MATCH(アイテムビューア!$C489,T項目!$D:$D,0)),"")</f>
        <v/>
      </c>
      <c r="E489">
        <f>アイテム項目!$A489</f>
        <v>0</v>
      </c>
      <c r="F489" t="str">
        <f>IFERROR(INDEX(C項目!$E:$E,MATCH(アイテムビューア!$E489,C項目!$D:$D,0)),"")</f>
        <v/>
      </c>
      <c r="G489">
        <f>アイテム項目!$E489</f>
        <v>0</v>
      </c>
      <c r="H489">
        <f>アイテム項目!$F489</f>
        <v>0</v>
      </c>
      <c r="I489">
        <f>アイテム項目!$G489</f>
        <v>0</v>
      </c>
      <c r="J489">
        <f>アイテム項目!$H489</f>
        <v>0</v>
      </c>
      <c r="K489">
        <f>アイテム項目!$I489</f>
        <v>0</v>
      </c>
    </row>
    <row r="490" spans="1:11">
      <c r="A490" t="str">
        <f>IFERROR(INDEX(T項目!$A:$A,MATCH(アイテムビューア!$C490,T項目!$D:$D,0)),"")</f>
        <v/>
      </c>
      <c r="B490" t="str">
        <f>IFERROR(INDEX(S項目!$B:$B,MATCH(アイテムビューア!$A490,S項目!$A:$A,0)),"")</f>
        <v/>
      </c>
      <c r="C490" t="str">
        <f>IFERROR(INDEX(C項目!$A:$A,MATCH(アイテムビューア!$E490,C項目!$D:$D,0)),"")</f>
        <v/>
      </c>
      <c r="D490" t="str">
        <f>IFERROR(INDEX(T項目!$E:$E,MATCH(アイテムビューア!$C490,T項目!$D:$D,0)),"")</f>
        <v/>
      </c>
      <c r="E490">
        <f>アイテム項目!$A490</f>
        <v>0</v>
      </c>
      <c r="F490" t="str">
        <f>IFERROR(INDEX(C項目!$E:$E,MATCH(アイテムビューア!$E490,C項目!$D:$D,0)),"")</f>
        <v/>
      </c>
      <c r="G490">
        <f>アイテム項目!$E490</f>
        <v>0</v>
      </c>
      <c r="H490">
        <f>アイテム項目!$F490</f>
        <v>0</v>
      </c>
      <c r="I490">
        <f>アイテム項目!$G490</f>
        <v>0</v>
      </c>
      <c r="J490">
        <f>アイテム項目!$H490</f>
        <v>0</v>
      </c>
      <c r="K490">
        <f>アイテム項目!$I490</f>
        <v>0</v>
      </c>
    </row>
    <row r="491" spans="1:11">
      <c r="A491" t="str">
        <f>IFERROR(INDEX(T項目!$A:$A,MATCH(アイテムビューア!$C491,T項目!$D:$D,0)),"")</f>
        <v/>
      </c>
      <c r="B491" t="str">
        <f>IFERROR(INDEX(S項目!$B:$B,MATCH(アイテムビューア!$A491,S項目!$A:$A,0)),"")</f>
        <v/>
      </c>
      <c r="C491" t="str">
        <f>IFERROR(INDEX(C項目!$A:$A,MATCH(アイテムビューア!$E491,C項目!$D:$D,0)),"")</f>
        <v/>
      </c>
      <c r="D491" t="str">
        <f>IFERROR(INDEX(T項目!$E:$E,MATCH(アイテムビューア!$C491,T項目!$D:$D,0)),"")</f>
        <v/>
      </c>
      <c r="E491">
        <f>アイテム項目!$A491</f>
        <v>0</v>
      </c>
      <c r="F491" t="str">
        <f>IFERROR(INDEX(C項目!$E:$E,MATCH(アイテムビューア!$E491,C項目!$D:$D,0)),"")</f>
        <v/>
      </c>
      <c r="G491">
        <f>アイテム項目!$E491</f>
        <v>0</v>
      </c>
      <c r="H491">
        <f>アイテム項目!$F491</f>
        <v>0</v>
      </c>
      <c r="I491">
        <f>アイテム項目!$G491</f>
        <v>0</v>
      </c>
      <c r="J491">
        <f>アイテム項目!$H491</f>
        <v>0</v>
      </c>
      <c r="K491">
        <f>アイテム項目!$I491</f>
        <v>0</v>
      </c>
    </row>
    <row r="492" spans="1:11">
      <c r="A492" t="str">
        <f>IFERROR(INDEX(T項目!$A:$A,MATCH(アイテムビューア!$C492,T項目!$D:$D,0)),"")</f>
        <v/>
      </c>
      <c r="B492" t="str">
        <f>IFERROR(INDEX(S項目!$B:$B,MATCH(アイテムビューア!$A492,S項目!$A:$A,0)),"")</f>
        <v/>
      </c>
      <c r="C492" t="str">
        <f>IFERROR(INDEX(C項目!$A:$A,MATCH(アイテムビューア!$E492,C項目!$D:$D,0)),"")</f>
        <v/>
      </c>
      <c r="D492" t="str">
        <f>IFERROR(INDEX(T項目!$E:$E,MATCH(アイテムビューア!$C492,T項目!$D:$D,0)),"")</f>
        <v/>
      </c>
      <c r="E492">
        <f>アイテム項目!$A492</f>
        <v>0</v>
      </c>
      <c r="F492" t="str">
        <f>IFERROR(INDEX(C項目!$E:$E,MATCH(アイテムビューア!$E492,C項目!$D:$D,0)),"")</f>
        <v/>
      </c>
      <c r="G492">
        <f>アイテム項目!$E492</f>
        <v>0</v>
      </c>
      <c r="H492">
        <f>アイテム項目!$F492</f>
        <v>0</v>
      </c>
      <c r="I492">
        <f>アイテム項目!$G492</f>
        <v>0</v>
      </c>
      <c r="J492">
        <f>アイテム項目!$H492</f>
        <v>0</v>
      </c>
      <c r="K492">
        <f>アイテム項目!$I492</f>
        <v>0</v>
      </c>
    </row>
    <row r="493" spans="1:11">
      <c r="B493"/>
      <c r="D493"/>
      <c r="F493"/>
      <c r="G493"/>
      <c r="H493"/>
    </row>
    <row r="494" spans="1:11">
      <c r="B494"/>
      <c r="D494"/>
      <c r="F494"/>
      <c r="G494"/>
      <c r="H494"/>
    </row>
    <row r="495" spans="1:11">
      <c r="B495"/>
      <c r="D495"/>
      <c r="F495"/>
      <c r="G495"/>
      <c r="H495"/>
    </row>
    <row r="496" spans="1:11">
      <c r="B496"/>
      <c r="D496"/>
      <c r="F496"/>
      <c r="G496"/>
      <c r="H496"/>
    </row>
  </sheetData>
  <phoneticPr fontId="1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9:E217"/>
  <sheetViews>
    <sheetView workbookViewId="0"/>
  </sheetViews>
  <sheetFormatPr defaultRowHeight="18.75"/>
  <cols>
    <col min="1" max="1" width="20.625" style="27" customWidth="1"/>
  </cols>
  <sheetData>
    <row r="9" spans="1:1">
      <c r="A9" t="s">
        <v>31</v>
      </c>
    </row>
    <row r="10" spans="1:1">
      <c r="A10" t="s">
        <v>32</v>
      </c>
    </row>
    <row r="12" spans="1:1">
      <c r="A12" t="s">
        <v>33</v>
      </c>
    </row>
    <row r="14" spans="1:1">
      <c r="A14" t="s">
        <v>1335</v>
      </c>
    </row>
    <row r="16" spans="1:1">
      <c r="A16" t="s">
        <v>35</v>
      </c>
    </row>
    <row r="18" spans="1:4">
      <c r="A18" t="s">
        <v>1336</v>
      </c>
    </row>
    <row r="19" spans="1:4">
      <c r="A19" t="s">
        <v>1337</v>
      </c>
    </row>
    <row r="20" spans="1:4">
      <c r="A20" t="s">
        <v>1338</v>
      </c>
      <c r="B20" s="18"/>
    </row>
    <row r="21" spans="1:4">
      <c r="A21" t="s">
        <v>1339</v>
      </c>
    </row>
    <row r="22" spans="1:4">
      <c r="A22" t="s">
        <v>1340</v>
      </c>
      <c r="D22" s="18"/>
    </row>
    <row r="23" spans="1:4">
      <c r="A23" t="s">
        <v>1341</v>
      </c>
    </row>
    <row r="24" spans="1:4">
      <c r="A24" t="s">
        <v>1342</v>
      </c>
    </row>
    <row r="25" spans="1:4">
      <c r="A25" t="s">
        <v>1343</v>
      </c>
    </row>
    <row r="26" spans="1:4">
      <c r="A26" t="s">
        <v>1344</v>
      </c>
    </row>
    <row r="27" spans="1:4">
      <c r="A27" t="s">
        <v>49</v>
      </c>
    </row>
    <row r="28" spans="1:4">
      <c r="A28" t="s">
        <v>1345</v>
      </c>
    </row>
    <row r="29" spans="1:4">
      <c r="A29" t="s">
        <v>1346</v>
      </c>
    </row>
    <row r="30" spans="1:4">
      <c r="A30" t="s">
        <v>1347</v>
      </c>
    </row>
    <row r="34" spans="1:1">
      <c r="A34" t="s">
        <v>52</v>
      </c>
    </row>
    <row r="36" spans="1:1">
      <c r="A36" t="s">
        <v>1348</v>
      </c>
    </row>
    <row r="37" spans="1:1">
      <c r="A37" t="s">
        <v>1349</v>
      </c>
    </row>
    <row r="38" spans="1:1">
      <c r="A38" t="s">
        <v>1350</v>
      </c>
    </row>
    <row r="39" spans="1:1">
      <c r="A39" t="s">
        <v>1351</v>
      </c>
    </row>
    <row r="40" spans="1:1">
      <c r="A40" t="s">
        <v>1352</v>
      </c>
    </row>
    <row r="41" spans="1:1">
      <c r="A41" t="s">
        <v>1353</v>
      </c>
    </row>
    <row r="42" spans="1:1">
      <c r="A42" t="s">
        <v>1354</v>
      </c>
    </row>
    <row r="43" spans="1:1">
      <c r="A43" t="s">
        <v>1355</v>
      </c>
    </row>
    <row r="44" spans="1:1">
      <c r="A44" t="s">
        <v>1356</v>
      </c>
    </row>
    <row r="45" spans="1:1">
      <c r="A45" t="s">
        <v>49</v>
      </c>
    </row>
    <row r="46" spans="1:1">
      <c r="A46" t="s">
        <v>1357</v>
      </c>
    </row>
    <row r="47" spans="1:1">
      <c r="A47" t="s">
        <v>1358</v>
      </c>
    </row>
    <row r="48" spans="1:1">
      <c r="A48" t="s">
        <v>1359</v>
      </c>
    </row>
    <row r="52" spans="1:1">
      <c r="A52" t="s">
        <v>61</v>
      </c>
    </row>
    <row r="54" spans="1:1">
      <c r="A54" t="s">
        <v>1360</v>
      </c>
    </row>
    <row r="55" spans="1:1">
      <c r="A55" t="s">
        <v>1349</v>
      </c>
    </row>
    <row r="56" spans="1:1">
      <c r="A56" t="s">
        <v>1361</v>
      </c>
    </row>
    <row r="57" spans="1:1">
      <c r="A57" t="s">
        <v>1362</v>
      </c>
    </row>
    <row r="58" spans="1:1">
      <c r="A58" t="s">
        <v>1363</v>
      </c>
    </row>
    <row r="59" spans="1:1">
      <c r="A59" t="s">
        <v>1364</v>
      </c>
    </row>
    <row r="60" spans="1:1">
      <c r="A60" t="s">
        <v>1365</v>
      </c>
    </row>
    <row r="61" spans="1:1">
      <c r="A61" t="s">
        <v>1366</v>
      </c>
    </row>
    <row r="62" spans="1:1">
      <c r="A62" t="s">
        <v>1367</v>
      </c>
    </row>
    <row r="63" spans="1:1">
      <c r="A63" t="s">
        <v>49</v>
      </c>
    </row>
    <row r="64" spans="1:1">
      <c r="A64" t="s">
        <v>1368</v>
      </c>
    </row>
    <row r="65" spans="1:5">
      <c r="A65" t="s">
        <v>1369</v>
      </c>
    </row>
    <row r="66" spans="1:5">
      <c r="A66" t="s">
        <v>1359</v>
      </c>
    </row>
    <row r="70" spans="1:5">
      <c r="A70" t="s">
        <v>1370</v>
      </c>
    </row>
    <row r="72" spans="1:5">
      <c r="A72" t="s">
        <v>36</v>
      </c>
    </row>
    <row r="73" spans="1:5">
      <c r="A73" t="s">
        <v>38</v>
      </c>
    </row>
    <row r="74" spans="1:5">
      <c r="A74" t="s">
        <v>40</v>
      </c>
    </row>
    <row r="75" spans="1:5">
      <c r="A75" t="s">
        <v>42</v>
      </c>
    </row>
    <row r="76" spans="1:5">
      <c r="A76" t="s">
        <v>44</v>
      </c>
    </row>
    <row r="77" spans="1:5">
      <c r="A77" t="s">
        <v>46</v>
      </c>
    </row>
    <row r="78" spans="1:5">
      <c r="A78" t="s">
        <v>1371</v>
      </c>
    </row>
    <row r="79" spans="1:5">
      <c r="A79" t="s">
        <v>1372</v>
      </c>
    </row>
    <row r="80" spans="1:5">
      <c r="A80" t="s">
        <v>1373</v>
      </c>
      <c r="C80">
        <v>175</v>
      </c>
      <c r="D80">
        <v>80</v>
      </c>
      <c r="E80">
        <v>55</v>
      </c>
    </row>
    <row r="81" spans="1:5">
      <c r="A81" t="s">
        <v>49</v>
      </c>
      <c r="B81" t="s">
        <v>1374</v>
      </c>
    </row>
    <row r="85" spans="1:5">
      <c r="A85" t="s">
        <v>1375</v>
      </c>
    </row>
    <row r="87" spans="1:5">
      <c r="A87" t="s">
        <v>36</v>
      </c>
      <c r="B87" t="s">
        <v>17</v>
      </c>
    </row>
    <row r="88" spans="1:5">
      <c r="A88" t="s">
        <v>38</v>
      </c>
    </row>
    <row r="89" spans="1:5">
      <c r="A89" t="s">
        <v>40</v>
      </c>
    </row>
    <row r="90" spans="1:5">
      <c r="A90" t="s">
        <v>42</v>
      </c>
      <c r="B90" t="s">
        <v>71</v>
      </c>
    </row>
    <row r="91" spans="1:5">
      <c r="A91" t="s">
        <v>44</v>
      </c>
      <c r="B91" t="s">
        <v>1376</v>
      </c>
    </row>
    <row r="92" spans="1:5">
      <c r="A92" t="s">
        <v>46</v>
      </c>
      <c r="B92" t="s">
        <v>71</v>
      </c>
    </row>
    <row r="93" spans="1:5">
      <c r="A93" t="s">
        <v>1371</v>
      </c>
      <c r="B93" s="18">
        <v>0.8</v>
      </c>
    </row>
    <row r="94" spans="1:5">
      <c r="A94" t="s">
        <v>1372</v>
      </c>
      <c r="B94" t="s">
        <v>1377</v>
      </c>
    </row>
    <row r="95" spans="1:5">
      <c r="A95" t="s">
        <v>1373</v>
      </c>
      <c r="C95">
        <v>175</v>
      </c>
      <c r="D95">
        <v>80</v>
      </c>
      <c r="E95">
        <v>80</v>
      </c>
    </row>
    <row r="96" spans="1:5">
      <c r="A96" t="s">
        <v>49</v>
      </c>
      <c r="B96" t="s">
        <v>1378</v>
      </c>
    </row>
    <row r="97" spans="1:5">
      <c r="C97" s="19"/>
    </row>
    <row r="100" spans="1:5">
      <c r="A100" t="s">
        <v>1379</v>
      </c>
    </row>
    <row r="102" spans="1:5">
      <c r="A102" t="s">
        <v>36</v>
      </c>
      <c r="B102" t="s">
        <v>29</v>
      </c>
    </row>
    <row r="103" spans="1:5">
      <c r="A103" t="s">
        <v>38</v>
      </c>
      <c r="B103" t="s">
        <v>54</v>
      </c>
    </row>
    <row r="104" spans="1:5">
      <c r="A104" t="s">
        <v>40</v>
      </c>
      <c r="B104" t="s">
        <v>71</v>
      </c>
    </row>
    <row r="105" spans="1:5">
      <c r="A105" t="s">
        <v>42</v>
      </c>
    </row>
    <row r="106" spans="1:5">
      <c r="A106" t="s">
        <v>44</v>
      </c>
      <c r="B106" t="s">
        <v>1380</v>
      </c>
    </row>
    <row r="107" spans="1:5">
      <c r="A107" t="s">
        <v>46</v>
      </c>
    </row>
    <row r="108" spans="1:5">
      <c r="A108" t="s">
        <v>1371</v>
      </c>
      <c r="B108" s="18">
        <v>0.8</v>
      </c>
    </row>
    <row r="109" spans="1:5">
      <c r="A109" t="s">
        <v>1372</v>
      </c>
      <c r="B109" t="s">
        <v>1381</v>
      </c>
    </row>
    <row r="110" spans="1:5">
      <c r="A110" t="s">
        <v>1373</v>
      </c>
      <c r="C110">
        <v>175</v>
      </c>
      <c r="D110">
        <v>80</v>
      </c>
      <c r="E110">
        <v>80</v>
      </c>
    </row>
    <row r="111" spans="1:5">
      <c r="A111" t="s">
        <v>49</v>
      </c>
      <c r="C111" s="19"/>
    </row>
    <row r="115" spans="1:1">
      <c r="A115" t="s">
        <v>69</v>
      </c>
    </row>
    <row r="117" spans="1:1">
      <c r="A117" t="s">
        <v>1382</v>
      </c>
    </row>
    <row r="118" spans="1:1">
      <c r="A118" t="s">
        <v>1349</v>
      </c>
    </row>
    <row r="119" spans="1:1">
      <c r="A119" t="s">
        <v>1383</v>
      </c>
    </row>
    <row r="120" spans="1:1">
      <c r="A120" t="s">
        <v>1384</v>
      </c>
    </row>
    <row r="121" spans="1:1">
      <c r="A121" t="s">
        <v>1385</v>
      </c>
    </row>
    <row r="122" spans="1:1">
      <c r="A122" t="s">
        <v>1386</v>
      </c>
    </row>
    <row r="123" spans="1:1">
      <c r="A123" t="s">
        <v>1387</v>
      </c>
    </row>
    <row r="124" spans="1:1">
      <c r="A124" t="s">
        <v>1388</v>
      </c>
    </row>
    <row r="125" spans="1:1">
      <c r="A125" t="s">
        <v>1389</v>
      </c>
    </row>
    <row r="126" spans="1:1">
      <c r="A126" t="s">
        <v>49</v>
      </c>
    </row>
    <row r="127" spans="1:1">
      <c r="A127" t="s">
        <v>1390</v>
      </c>
    </row>
    <row r="128" spans="1:1">
      <c r="A128" t="s">
        <v>1391</v>
      </c>
    </row>
    <row r="129" spans="1:1">
      <c r="A129" t="s">
        <v>1392</v>
      </c>
    </row>
    <row r="130" spans="1:1">
      <c r="A130" t="s">
        <v>1393</v>
      </c>
    </row>
    <row r="134" spans="1:1">
      <c r="A134" t="s">
        <v>75</v>
      </c>
    </row>
    <row r="136" spans="1:1">
      <c r="A136" t="s">
        <v>1382</v>
      </c>
    </row>
    <row r="137" spans="1:1">
      <c r="A137" t="s">
        <v>1349</v>
      </c>
    </row>
    <row r="138" spans="1:1">
      <c r="A138" t="s">
        <v>40</v>
      </c>
    </row>
    <row r="139" spans="1:1">
      <c r="A139" t="s">
        <v>1384</v>
      </c>
    </row>
    <row r="140" spans="1:1">
      <c r="A140" t="s">
        <v>1385</v>
      </c>
    </row>
    <row r="141" spans="1:1">
      <c r="A141" t="s">
        <v>1386</v>
      </c>
    </row>
    <row r="142" spans="1:1">
      <c r="A142" t="s">
        <v>1371</v>
      </c>
    </row>
    <row r="143" spans="1:1">
      <c r="A143" t="s">
        <v>1394</v>
      </c>
    </row>
    <row r="144" spans="1:1">
      <c r="A144" t="s">
        <v>1395</v>
      </c>
    </row>
    <row r="145" spans="1:2">
      <c r="A145" t="s">
        <v>49</v>
      </c>
    </row>
    <row r="146" spans="1:2">
      <c r="A146" t="s">
        <v>1396</v>
      </c>
    </row>
    <row r="147" spans="1:2">
      <c r="A147" t="s">
        <v>1397</v>
      </c>
    </row>
    <row r="148" spans="1:2">
      <c r="A148" t="s">
        <v>1398</v>
      </c>
    </row>
    <row r="149" spans="1:2">
      <c r="A149" t="s">
        <v>1399</v>
      </c>
    </row>
    <row r="153" spans="1:2">
      <c r="A153" t="s">
        <v>1400</v>
      </c>
    </row>
    <row r="155" spans="1:2">
      <c r="A155" t="s">
        <v>36</v>
      </c>
      <c r="B155" t="s">
        <v>29</v>
      </c>
    </row>
    <row r="156" spans="1:2">
      <c r="A156" t="s">
        <v>38</v>
      </c>
    </row>
    <row r="157" spans="1:2">
      <c r="A157" t="s">
        <v>40</v>
      </c>
    </row>
    <row r="158" spans="1:2">
      <c r="A158" t="s">
        <v>42</v>
      </c>
      <c r="B158" t="s">
        <v>71</v>
      </c>
    </row>
    <row r="159" spans="1:2">
      <c r="A159" t="s">
        <v>44</v>
      </c>
    </row>
    <row r="160" spans="1:2">
      <c r="A160" t="s">
        <v>46</v>
      </c>
      <c r="B160" t="s">
        <v>1401</v>
      </c>
    </row>
    <row r="161" spans="1:4">
      <c r="A161" t="s">
        <v>1371</v>
      </c>
    </row>
    <row r="162" spans="1:4">
      <c r="A162" t="s">
        <v>1402</v>
      </c>
    </row>
    <row r="163" spans="1:4">
      <c r="A163" t="s">
        <v>68</v>
      </c>
      <c r="B163">
        <v>28</v>
      </c>
      <c r="C163">
        <v>38</v>
      </c>
      <c r="D163">
        <v>180</v>
      </c>
    </row>
    <row r="164" spans="1:4">
      <c r="A164" t="s">
        <v>49</v>
      </c>
    </row>
    <row r="165" spans="1:4">
      <c r="A165" t="s">
        <v>1403</v>
      </c>
    </row>
    <row r="166" spans="1:4">
      <c r="A166" t="s">
        <v>1404</v>
      </c>
    </row>
    <row r="167" spans="1:4">
      <c r="A167" t="s">
        <v>1405</v>
      </c>
    </row>
    <row r="168" spans="1:4">
      <c r="A168" t="s">
        <v>1406</v>
      </c>
    </row>
    <row r="169" spans="1:4">
      <c r="A169" t="s">
        <v>1407</v>
      </c>
    </row>
    <row r="170" spans="1:4">
      <c r="A170" t="s">
        <v>1408</v>
      </c>
    </row>
    <row r="171" spans="1:4">
      <c r="A171" t="s">
        <v>1409</v>
      </c>
    </row>
    <row r="173" spans="1:4">
      <c r="A173" t="s">
        <v>1410</v>
      </c>
    </row>
    <row r="174" spans="1:4">
      <c r="A174" t="s">
        <v>1411</v>
      </c>
    </row>
    <row r="175" spans="1:4">
      <c r="A175" t="s">
        <v>1412</v>
      </c>
    </row>
    <row r="179" spans="1:1">
      <c r="A179" t="s">
        <v>79</v>
      </c>
    </row>
    <row r="181" spans="1:1">
      <c r="A181" t="s">
        <v>36</v>
      </c>
    </row>
    <row r="182" spans="1:1">
      <c r="A182" t="s">
        <v>1413</v>
      </c>
    </row>
    <row r="183" spans="1:1">
      <c r="A183" t="s">
        <v>1414</v>
      </c>
    </row>
    <row r="184" spans="1:1">
      <c r="A184" t="s">
        <v>1415</v>
      </c>
    </row>
    <row r="186" spans="1:1">
      <c r="A186" t="s">
        <v>38</v>
      </c>
    </row>
    <row r="187" spans="1:1">
      <c r="A187" t="s">
        <v>1416</v>
      </c>
    </row>
    <row r="189" spans="1:1">
      <c r="A189" t="s">
        <v>40</v>
      </c>
    </row>
    <row r="190" spans="1:1">
      <c r="A190" t="s">
        <v>1417</v>
      </c>
    </row>
    <row r="192" spans="1:1">
      <c r="A192" t="s">
        <v>42</v>
      </c>
    </row>
    <row r="194" spans="1:4">
      <c r="A194" t="s">
        <v>44</v>
      </c>
    </row>
    <row r="196" spans="1:4">
      <c r="A196" t="s">
        <v>46</v>
      </c>
    </row>
    <row r="198" spans="1:4">
      <c r="A198" t="s">
        <v>1371</v>
      </c>
    </row>
    <row r="200" spans="1:4">
      <c r="A200" t="s">
        <v>1372</v>
      </c>
    </row>
    <row r="201" spans="1:4">
      <c r="A201" t="s">
        <v>1418</v>
      </c>
    </row>
    <row r="203" spans="1:4">
      <c r="A203" t="s">
        <v>1419</v>
      </c>
    </row>
    <row r="205" spans="1:4">
      <c r="A205" t="s">
        <v>49</v>
      </c>
    </row>
    <row r="206" spans="1:4">
      <c r="A206" t="s">
        <v>1420</v>
      </c>
    </row>
    <row r="207" spans="1:4">
      <c r="A207" t="s">
        <v>1421</v>
      </c>
      <c r="B207" t="s">
        <v>1422</v>
      </c>
      <c r="D207" t="s">
        <v>1423</v>
      </c>
    </row>
    <row r="208" spans="1:4">
      <c r="A208" t="s">
        <v>1424</v>
      </c>
    </row>
    <row r="209" spans="1:2">
      <c r="A209" t="s">
        <v>1425</v>
      </c>
      <c r="B209" t="s">
        <v>1426</v>
      </c>
    </row>
    <row r="211" spans="1:2">
      <c r="A211" t="s">
        <v>1427</v>
      </c>
    </row>
    <row r="212" spans="1:2">
      <c r="A212" t="s">
        <v>1428</v>
      </c>
      <c r="B212" t="s">
        <v>1429</v>
      </c>
    </row>
    <row r="214" spans="1:2">
      <c r="A214" t="s">
        <v>1430</v>
      </c>
    </row>
    <row r="215" spans="1:2">
      <c r="A215" t="s">
        <v>1431</v>
      </c>
      <c r="B215" t="s">
        <v>1432</v>
      </c>
    </row>
    <row r="217" spans="1:2">
      <c r="A217" t="s">
        <v>1433</v>
      </c>
    </row>
  </sheetData>
  <phoneticPr fontId="1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4"/>
  <sheetViews>
    <sheetView workbookViewId="0"/>
  </sheetViews>
  <sheetFormatPr defaultColWidth="15.125" defaultRowHeight="18.75"/>
  <sheetData>
    <row r="1" spans="1:10" ht="29.25" customHeight="1">
      <c r="A1" s="30"/>
      <c r="B1" s="30" t="s">
        <v>429</v>
      </c>
      <c r="C1" s="30" t="s">
        <v>430</v>
      </c>
      <c r="D1" s="30" t="s">
        <v>431</v>
      </c>
      <c r="E1" s="30" t="s">
        <v>432</v>
      </c>
      <c r="F1" s="30" t="s">
        <v>433</v>
      </c>
      <c r="G1" s="30" t="s">
        <v>434</v>
      </c>
      <c r="H1" s="30" t="s">
        <v>435</v>
      </c>
      <c r="I1" s="30" t="s">
        <v>436</v>
      </c>
      <c r="J1" s="30" t="s">
        <v>437</v>
      </c>
    </row>
    <row r="2" spans="1:10" ht="37.5" customHeight="1">
      <c r="A2" s="31" t="s">
        <v>1434</v>
      </c>
      <c r="B2" s="31" t="s">
        <v>1435</v>
      </c>
      <c r="C2" s="31" t="s">
        <v>1436</v>
      </c>
      <c r="D2" s="31" t="s">
        <v>1437</v>
      </c>
      <c r="E2" s="31" t="s">
        <v>1438</v>
      </c>
      <c r="F2" s="31" t="s">
        <v>1439</v>
      </c>
      <c r="G2" s="31" t="s">
        <v>1440</v>
      </c>
      <c r="H2" s="31" t="s">
        <v>1441</v>
      </c>
      <c r="I2" s="31" t="s">
        <v>1442</v>
      </c>
      <c r="J2" s="31" t="s">
        <v>1443</v>
      </c>
    </row>
    <row r="3" spans="1:10" ht="56.25" customHeight="1">
      <c r="A3" s="31" t="s">
        <v>1444</v>
      </c>
      <c r="B3" s="31" t="s">
        <v>1445</v>
      </c>
      <c r="C3" s="31" t="s">
        <v>1446</v>
      </c>
      <c r="D3" s="31" t="s">
        <v>1447</v>
      </c>
      <c r="E3" s="31" t="s">
        <v>1448</v>
      </c>
      <c r="F3" s="31" t="s">
        <v>1439</v>
      </c>
      <c r="G3" s="31" t="s">
        <v>1449</v>
      </c>
      <c r="H3" s="31" t="s">
        <v>1450</v>
      </c>
      <c r="I3" s="31" t="s">
        <v>1451</v>
      </c>
      <c r="J3" s="31" t="s">
        <v>437</v>
      </c>
    </row>
    <row r="4" spans="1:10">
      <c r="A4" s="31" t="s">
        <v>1452</v>
      </c>
      <c r="B4" s="31" t="s">
        <v>1453</v>
      </c>
      <c r="C4" s="31" t="s">
        <v>1454</v>
      </c>
      <c r="D4" s="31" t="s">
        <v>1455</v>
      </c>
      <c r="E4" s="31" t="s">
        <v>1456</v>
      </c>
      <c r="F4" s="31" t="s">
        <v>1457</v>
      </c>
      <c r="G4" s="31" t="s">
        <v>1458</v>
      </c>
      <c r="H4" s="31" t="s">
        <v>1459</v>
      </c>
      <c r="I4" s="31" t="s">
        <v>1460</v>
      </c>
      <c r="J4" s="31" t="s">
        <v>1461</v>
      </c>
    </row>
  </sheetData>
  <phoneticPr fontId="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作業部屋見取り図</vt:lpstr>
      <vt:lpstr>ラフ配置</vt:lpstr>
      <vt:lpstr>ラフ配置南</vt:lpstr>
      <vt:lpstr>アイテムデータ</vt:lpstr>
      <vt:lpstr>S項目</vt:lpstr>
      <vt:lpstr>T項目</vt:lpstr>
      <vt:lpstr>C項目</vt:lpstr>
      <vt:lpstr>アイテム入力</vt:lpstr>
      <vt:lpstr>アイテム項目</vt:lpstr>
      <vt:lpstr>ネジDB</vt:lpstr>
      <vt:lpstr>アイテムビューア</vt:lpstr>
      <vt:lpstr>全体配置</vt:lpstr>
      <vt:lpstr>列名一覧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2000 p</cp:lastModifiedBy>
  <dcterms:modified xsi:type="dcterms:W3CDTF">2026-09-14T12:16:09Z</dcterms:modified>
</cp:coreProperties>
</file>