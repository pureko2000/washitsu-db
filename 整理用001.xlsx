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F2488B69-D891-4E6A-A60D-4237F24C2F59}" xr6:coauthVersionLast="47" xr6:coauthVersionMax="47" xr10:uidLastSave="{00000000-0000-0000-0000-000000000000}"/>
  <bookViews>
    <workbookView xWindow="6825" yWindow="1860" windowWidth="16155" windowHeight="13275" tabRatio="901" activeTab="4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359" i="14" l="1"/>
  <c r="D359" i="14" s="1"/>
  <c r="A350" i="14"/>
  <c r="B350" i="14" s="1"/>
  <c r="C325" i="14"/>
  <c r="D325" i="14" s="1"/>
  <c r="C332" i="14"/>
  <c r="D332" i="14" s="1"/>
  <c r="C852" i="14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332" i="14" l="1"/>
  <c r="B332" i="14" s="1"/>
  <c r="A518" i="14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<sst xmlns="http://schemas.openxmlformats.org/spreadsheetml/2006/main" count="3537" uniqueCount="1276">
  <si>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</si>
  <si>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</si>
  <si>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</si>
  <si>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</si>
  <si>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</si>
  <si>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</si>
  <si>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</si>
  <si>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</si>
  <si>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</si>
  <si>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</si>
  <si>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</si>
  <si>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</si>
  <si>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</si>
  <si>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</si>
  <si>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</si>
  <si>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</si>
  <si>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</si>
  <si>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</si>
  <si>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</si>
  <si>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</si>
  <si>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</si>
  <si>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</si>
  <si>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</si>
  <si>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</si>
  <si>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</si>
  <si>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</si>
  <si>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</si>
  <si>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</si>
  <si>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</si>
  <si>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</si>
  <si>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</si>
  <si>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</si>
  <si>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</si>
  <si>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</si>
  <si>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</si>
  <si>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</si>
  <si>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</si>
  <si>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</si>
  <si>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</si>
  <si>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</si>
  <si>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</si>
  <si>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</si>
  <si>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</si>
  <si>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</si>
  <si>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</si>
  <si>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</si>
  <si>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</si>
  <si>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</si>
  <si>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</si>
  <si>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</si>
  <si>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</si>
  <si>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</si>
  <si>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</si>
  <si>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</si>
  <si>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</si>
  <si>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</si>
  <si>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</si>
  <si>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</si>
  <si>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</si>
  <si>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</si>
  <si>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</si>
  <si>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</si>
  <si>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</si>
  <si>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</si>
  <si>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</si>
  <si>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</si>
  <si>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</si>
  <si>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</si>
  <si>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</si>
  <si>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</si>
  <si>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</si>
  <si>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</si>
  <si>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</si>
  <si>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</si>
  <si>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</si>
  <si>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</si>
  <si>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</si>
  <si>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</si>
  <si>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</si>
  <si>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</si>
  <si>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</si>
  <si>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</si>
  <si>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</si>
  <si>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</si>
  <si>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</si>
  <si>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</si>
  <si>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</si>
  <si>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</si>
  <si>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</si>
  <si>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</si>
  <si>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</si>
  <si>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</si>
  <si>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</si>
  <si>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</si>
  <si>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</si>
  <si>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</si>
  <si>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</si>
  <si>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</si>
  <si>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</si>
  <si>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</si>
  <si>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</si>
  <si>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</si>
  <si>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</si>
  <si>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</si>
  <si>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</si>
  <si>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</si>
  <si>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</si>
  <si>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</si>
  <si>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</si>
  <si>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</si>
  <si>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</si>
  <si>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</si>
  <si>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</si>
  <si>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</si>
  <si>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</si>
  <si>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</si>
  <si>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</si>
  <si>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</si>
  <si>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</si>
  <si>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</si>
  <si>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</si>
  <si>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</si>
  <si>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</si>
  <si>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</si>
  <si>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</si>
  <si>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</si>
  <si>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</si>
  <si>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</si>
  <si>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</si>
  <si>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</si>
  <si>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</si>
  <si>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</si>
  <si>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</si>
  <si>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</si>
  <si>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</si>
  <si>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</si>
  <si>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</si>
  <si>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</si>
  <si>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</si>
  <si>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</si>
  <si>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</si>
  <si>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</si>
  <si>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</si>
  <si>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</si>
  <si>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</si>
  <si>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</si>
  <si>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</si>
  <si>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</si>
  <si>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</si>
  <si>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</si>
  <si>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</si>
  <si>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</si>
  <si>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</si>
  <si>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</si>
  <si>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</si>
  <si>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</si>
  <si>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</si>
  <si>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</si>
  <si>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</si>
  <si>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</si>
  <si>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</si>
  <si>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</si>
  <si>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</si>
  <si>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</si>
  <si>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</si>
  <si>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</si>
  <si>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</si>
  <si>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</si>
  <si>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</si>
  <si>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</si>
  <si>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</si>
  <si>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</si>
  <si>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</si>
  <si>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</si>
  <si>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</si>
  <si>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</si>
  <si>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</si>
  <si>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</si>
  <si>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</si>
  <si>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</si>
  <si>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</si>
  <si>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</si>
  <si>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</si>
  <si>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</si>
  <si>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</si>
  <si>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</si>
  <si>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</si>
  <si>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</si>
  <si>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</si>
  <si>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</si>
  <si>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</si>
  <si>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</si>
  <si>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</si>
  <si>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</si>
  <si>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</si>
  <si>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</si>
  <si>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</si>
  <si>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</si>
  <si>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</si>
  <si>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</si>
  <si>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</si>
  <si>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</si>
  <si>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</si>
  <si>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</si>
  <si>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</si>
  <si>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</si>
  <si>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</si>
  <si>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</si>
  <si>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</si>
  <si>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</si>
  <si>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</si>
  <si>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</si>
  <si>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</si>
  <si>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</si>
  <si>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</si>
  <si>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</si>
  <si>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</si>
  <si>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</si>
  <si>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</si>
  <si>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</si>
  <si>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</si>
  <si>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</si>
  <si>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</si>
  <si>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</si>
  <si>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</si>
  <si>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</si>
  <si>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</si>
  <si>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</si>
  <si>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</si>
  <si>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</si>
  <si>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</si>
  <si>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</si>
  <si>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</si>
  <si>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</si>
  <si>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</si>
  <si>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</si>
  <si>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</si>
  <si>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</si>
  <si>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</si>
  <si>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</si>
  <si>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</si>
  <si>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</si>
  <si>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</si>
  <si>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</si>
  <si>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</si>
  <si>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</si>
  <si>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</si>
  <si>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</si>
  <si>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</si>
  <si>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</si>
  <si>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</si>
  <si>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</si>
  <si>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</si>
  <si>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</si>
  <si>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</si>
  <si>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</si>
  <si>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</si>
  <si>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</si>
  <si>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</si>
  <si>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</si>
  <si>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</si>
  <si>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</si>
  <si>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</si>
  <si>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</si>
  <si>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</si>
  <si>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</si>
  <si>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</si>
  <si>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</si>
  <si>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</si>
  <si>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</si>
  <si>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</si>
  <si>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</si>
  <si>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</si>
  <si>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</si>
  <si>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</si>
  <si>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</si>
  <si>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</si>
  <si>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</si>
  <si>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</si>
  <si>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</si>
  <si>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</si>
  <si>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</si>
  <si>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</si>
  <si>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</si>
  <si>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</si>
  <si>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</si>
  <si>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</si>
  <si>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</si>
  <si>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</si>
  <si>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</si>
  <si>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</si>
  <si>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</si>
  <si>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</si>
  <si>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</si>
  <si>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</si>
  <si>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</si>
  <si>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</si>
  <si>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</si>
  <si>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</si>
  <si>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</si>
  <si>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</si>
  <si>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</si>
  <si>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</si>
  <si>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</si>
  <si>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</si>
  <si>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</si>
  <si>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</si>
  <si>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</si>
  <si>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</si>
  <si>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</si>
  <si>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</si>
  <si>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</si>
  <si>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</si>
  <si>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</si>
  <si>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</si>
  <si>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</si>
  <si>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</si>
  <si>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</si>
  <si>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</si>
  <si>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</si>
  <si>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</si>
  <si>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</si>
  <si>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</si>
  <si>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</si>
  <si>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</si>
  <si>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</si>
  <si>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</si>
  <si>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</si>
  <si>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</si>
  <si>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</si>
  <si>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</si>
  <si>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</si>
  <si>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</si>
  <si>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</si>
  <si>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</si>
  <si>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</si>
  <si>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</si>
  <si>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</si>
  <si>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</si>
  <si>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</si>
  <si>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</si>
  <si>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</si>
  <si>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</si>
  <si>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</si>
  <si>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</si>
  <si>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</si>
  <si>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</si>
  <si>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</si>
  <si>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</si>
  <si>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</si>
  <si>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</si>
  <si>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</si>
  <si>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</si>
  <si>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</si>
  <si>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</si>
  <si>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</si>
  <si>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</si>
  <si>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</si>
  <si>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</si>
  <si>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</si>
  <si>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</si>
  <si>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</si>
  <si>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</si>
  <si>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</si>
  <si>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</si>
  <si>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</si>
  <si>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</si>
  <si>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</si>
  <si>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</si>
  <si>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</si>
  <si>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</si>
  <si>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</si>
  <si>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</si>
  <si>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</si>
  <si>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</si>
  <si>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</si>
  <si>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</si>
  <si>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</si>
  <si>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</si>
  <si>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</si>
  <si>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</si>
  <si>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</si>
  <si>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</si>
  <si>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</si>
  <si>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</si>
  <si>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</si>
  <si>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</si>
  <si>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</si>
  <si>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</si>
  <si>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</si>
  <si>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</si>
  <si>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</si>
  <si>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</si>
  <si>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</si>
  <si>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</si>
  <si>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</si>
  <si>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</si>
  <si>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</si>
  <si>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</si>
  <si>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</si>
  <si>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</si>
  <si>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</si>
  <si>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</si>
  <si>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</si>
  <si>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</si>
  <si>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</si>
  <si>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</si>
  <si>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</si>
  <si>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</si>
  <si>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</si>
  <si>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</si>
  <si>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</si>
  <si>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</si>
  <si>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</si>
  <si>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</si>
  <si>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</si>
  <si>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</si>
  <si>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</si>
  <si>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</si>
  <si>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</si>
  <si>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</si>
  <si>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</si>
  <si>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</si>
  <si>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</si>
  <si>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</si>
  <si>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</si>
  <si>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</si>
  <si>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</si>
  <si>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</si>
  <si>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</si>
  <si>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</si>
  <si>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</si>
  <si>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</si>
  <si>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</si>
  <si>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</si>
  <si>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</si>
  <si>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</si>
  <si>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</si>
  <si>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</si>
  <si>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</si>
  <si>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</si>
  <si>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</si>
  <si>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</si>
  <si>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</si>
  <si>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</si>
  <si>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</si>
  <si>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</si>
  <si>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</si>
  <si>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</si>
  <si>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</si>
  <si>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</si>
  <si>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</si>
  <si>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</si>
  <si>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</si>
  <si>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</si>
  <si>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</si>
  <si>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</si>
  <si>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</si>
  <si>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</si>
  <si>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</si>
  <si>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</si>
  <si>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</si>
  <si>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</si>
  <si>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</si>
  <si>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</si>
  <si>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</si>
  <si>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</si>
  <si>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</si>
  <si>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</si>
  <si>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</si>
  <si>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</si>
  <si>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</si>
  <si>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</si>
  <si>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</si>
  <si>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</si>
  <si>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</si>
  <si>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</si>
  <si>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</si>
  <si>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</si>
  <si>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</si>
  <si>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</si>
  <si>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</si>
  <si>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</si>
  <si>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</si>
  <si>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</si>
  <si>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</si>
  <si>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</si>
  <si>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</si>
  <si>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</si>
  <si>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</si>
  <si>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</si>
  <si>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</si>
  <si>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</si>
  <si>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</si>
  <si>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</si>
  <si>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</si>
  <si>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</si>
  <si>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</si>
  <si>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</si>
  <si>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</si>
  <si>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</si>
  <si>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</si>
  <si>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</si>
  <si>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</si>
  <si>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</si>
  <si>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</si>
  <si>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</si>
  <si>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</si>
  <si>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</si>
  <si>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</si>
  <si>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</si>
  <si>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</si>
  <si>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</si>
  <si>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</si>
  <si>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</si>
  <si>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</si>
  <si>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</si>
  <si>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</si>
  <si>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</si>
  <si>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</si>
  <si>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</si>
  <si>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</si>
  <si>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</si>
  <si>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</si>
  <si>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</si>
  <si>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</si>
  <si>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</si>
  <si>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</si>
  <si>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</si>
  <si>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</si>
  <si>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</si>
  <si>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</si>
  <si>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</si>
  <si>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</si>
  <si>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</si>
  <si>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</si>
  <si>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</si>
  <si>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</si>
  <si>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</si>
  <si>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</si>
  <si>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</si>
  <si>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</si>
  <si>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</si>
  <si>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</si>
  <si>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</si>
  <si>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</si>
  <si>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</si>
  <si>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</si>
  <si>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</si>
  <si>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</si>
  <si>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</si>
  <si>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</si>
  <si>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</si>
  <si>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</si>
  <si>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</si>
  <si>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</si>
  <si>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</si>
  <si>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</si>
  <si>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</si>
  <si>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</si>
  <si>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</si>
  <si>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</si>
  <si>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</si>
  <si>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</si>
  <si>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</si>
  <si>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</si>
  <si>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</si>
  <si>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</si>
  <si>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</si>
  <si>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</si>
  <si>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</si>
  <si>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</si>
  <si>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</si>
  <si>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</si>
  <si>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</si>
  <si>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</si>
  <si>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</si>
  <si>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</si>
  <si>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</si>
  <si>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</si>
  <si>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</si>
  <si>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</si>
  <si>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</si>
  <si>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</si>
  <si>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</si>
  <si>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</si>
  <si>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</si>
  <si>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</si>
  <si>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</si>
  <si>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</si>
  <si>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</si>
  <si>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</si>
  <si>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</si>
  <si>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</si>
  <si>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</si>
  <si>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</si>
  <si>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</si>
  <si>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</si>
  <si>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</si>
  <si>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</si>
  <si>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</si>
  <si>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</si>
  <si>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</si>
  <si>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</si>
  <si>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</si>
  <si>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</si>
  <si>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</si>
  <si>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</si>
  <si>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</si>
  <si>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</si>
  <si>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</si>
  <si>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</si>
  <si>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</si>
  <si>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</si>
  <si>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</si>
  <si>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</si>
  <si>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</si>
  <si>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</si>
  <si>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</si>
  <si>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</si>
  <si>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</si>
  <si>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</si>
  <si>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</si>
  <si>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</si>
  <si>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</si>
  <si>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</si>
  <si>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</si>
  <si>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</si>
  <si>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</si>
  <si>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</si>
  <si>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</si>
  <si>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</si>
  <si>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</si>
  <si>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</si>
  <si>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</si>
  <si>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</si>
  <si>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</si>
  <si>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</si>
  <si>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</si>
  <si>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</si>
  <si>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</si>
  <si>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</si>
  <si>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</si>
  <si>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</si>
  <si>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</si>
  <si>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</si>
  <si>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</si>
  <si>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</si>
  <si>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</si>
  <si>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</si>
  <si>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</si>
  <si>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</si>
  <si>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</si>
  <si>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</si>
  <si>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</si>
  <si>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</si>
  <si>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</si>
  <si>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</si>
  <si>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</si>
  <si>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</si>
  <si>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</si>
  <si>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</si>
  <si>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</si>
  <si>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</si>
  <si>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</si>
  <si>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</si>
  <si>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</si>
  <si>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</si>
  <si>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</si>
  <si>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</si>
  <si>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</si>
  <si>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</si>
  <si>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</si>
  <si>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</si>
  <si>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</si>
  <si>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</si>
  <si>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</si>
  <si>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</si>
  <si>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</si>
  <si>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</si>
  <si>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</si>
  <si>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</si>
  <si>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</si>
  <si>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</si>
  <si>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</si>
  <si>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</si>
  <si>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</si>
  <si>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</si>
  <si>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</si>
  <si>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</si>
  <si>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</si>
  <si>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</si>
  <si>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</si>
  <si>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</si>
  <si>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</si>
  <si>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</si>
  <si>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</si>
  <si>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</si>
  <si>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</si>
  <si>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</si>
  <si>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</si>
  <si>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</si>
  <si>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</si>
  <si>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</si>
  <si>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</si>
  <si>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</si>
  <si>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</si>
  <si>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</si>
  <si>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</si>
  <si>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</si>
  <si>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</si>
  <si>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</si>
  <si>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</si>
  <si>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</si>
  <si>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</si>
  <si>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</si>
  <si>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</si>
  <si>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</si>
  <si>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</si>
  <si>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</si>
  <si>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</si>
  <si>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</si>
  <si>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</si>
  <si>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</si>
  <si>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</si>
  <si>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</si>
  <si>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</si>
  <si>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</si>
  <si>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</si>
  <si>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</si>
  <si>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</si>
  <si>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</si>
  <si>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</si>
  <si>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</si>
  <si>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</si>
  <si>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</si>
  <si>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</si>
  <si>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</si>
  <si>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</si>
  <si>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</si>
  <si>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</si>
  <si>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</si>
  <si>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</si>
  <si>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</si>
  <si>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</si>
  <si>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</si>
  <si>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</si>
  <si>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</si>
  <si>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</si>
  <si>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</si>
  <si>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</si>
  <si>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</si>
  <si>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</si>
  <si>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</si>
  <si>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</si>
  <si>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</si>
  <si>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</si>
  <si>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</si>
  <si>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</si>
  <si>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</si>
  <si>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</si>
  <si>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</si>
  <si>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</si>
  <si>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</si>
  <si>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</si>
  <si>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</si>
  <si>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</si>
  <si>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</si>
  <si>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</si>
  <si>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</si>
  <si>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</si>
  <si>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</si>
  <si>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</si>
  <si>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</si>
  <si>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</si>
  <si>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</si>
  <si>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</si>
  <si>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</si>
  <si>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</si>
  <si>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</si>
  <si>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</si>
  <si>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</si>
  <si>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</si>
  <si>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</si>
  <si>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</si>
  <si>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</si>
  <si>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</si>
  <si>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</si>
  <si>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</si>
  <si>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</si>
  <si>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</si>
  <si>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</si>
  <si>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</si>
  <si>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</si>
  <si>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</si>
  <si>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</si>
  <si>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</si>
  <si>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</si>
  <si>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</si>
  <si>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</si>
  <si>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</si>
  <si>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</si>
  <si>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</si>
  <si>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</si>
  <si>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</si>
  <si>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</si>
  <si>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</si>
  <si>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</si>
  <si>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</si>
  <si>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</si>
  <si>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</si>
  <si>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</si>
  <si>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</si>
  <si>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</si>
  <si>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</si>
  <si>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</si>
  <si>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</si>
  <si>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</si>
  <si>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</si>
  <si>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</si>
  <si>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</si>
  <si>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</si>
  <si>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</si>
  <si>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</si>
  <si>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</si>
  <si>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</si>
  <si>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</si>
  <si>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</si>
  <si>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</si>
  <si>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</si>
  <si>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</si>
  <si>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</si>
  <si>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</si>
  <si>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</si>
  <si>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</si>
  <si>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</si>
  <si>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</si>
  <si>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</si>
  <si>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</si>
  <si>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</si>
  <si>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</si>
  <si>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</si>
  <si>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</si>
  <si>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</si>
  <si>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</si>
  <si>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</si>
  <si>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</si>
  <si>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</si>
  <si>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</si>
  <si>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</si>
  <si>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</si>
  <si>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</si>
  <si>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</si>
  <si>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</si>
  <si>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</si>
  <si>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</si>
  <si>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</si>
  <si>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</si>
  <si>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</si>
  <si>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</si>
  <si>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</si>
  <si>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</si>
  <si>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</si>
  <si>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</si>
  <si>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</si>
  <si>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</si>
  <si>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</si>
  <si>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</si>
  <si>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</si>
  <si>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</si>
  <si>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</si>
  <si>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</si>
  <si>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</si>
  <si>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</si>
  <si>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</si>
  <si>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</si>
  <si>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</si>
  <si>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</si>
  <si>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</si>
  <si>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</si>
  <si>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</si>
  <si>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</si>
  <si>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</si>
  <si>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</si>
  <si>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</si>
  <si>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</si>
  <si>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</si>
  <si>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</si>
  <si>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</si>
  <si>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</si>
  <si>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</si>
  <si>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</si>
  <si>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</si>
  <si>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</si>
  <si>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</si>
  <si>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</si>
  <si>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</si>
  <si>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</si>
  <si>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</si>
  <si>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</si>
  <si>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</si>
  <si>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</si>
  <si>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</si>
  <si>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</si>
  <si>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</si>
  <si>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</si>
  <si>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</si>
  <si>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</si>
  <si>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</si>
  <si>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</si>
  <si>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</si>
  <si>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</si>
  <si>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</si>
  <si>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</si>
  <si>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</si>
  <si>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</si>
  <si>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</si>
  <si>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</si>
  <si>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</si>
  <si>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</si>
  <si>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</si>
  <si>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</si>
  <si>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</si>
  <si>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</si>
  <si>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</si>
  <si>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</si>
  <si>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</si>
  <si>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</si>
  <si>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</si>
  <si>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</si>
  <si>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</si>
  <si>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</si>
  <si>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</si>
  <si>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</si>
  <si>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</si>
  <si>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</si>
  <si>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</si>
  <si>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</si>
  <si>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</si>
  <si>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</si>
  <si>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</si>
  <si>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</si>
  <si>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</si>
  <si>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</si>
  <si>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</si>
  <si>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</si>
  <si>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</si>
  <si>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</si>
  <si>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</si>
  <si>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</si>
  <si>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</si>
  <si>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</si>
  <si>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</si>
  <si>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</si>
  <si>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</si>
  <si>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</si>
  <si>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</si>
  <si>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</si>
  <si>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</si>
  <si>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</si>
  <si>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</si>
  <si>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</si>
  <si>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</si>
  <si>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</si>
  <si>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</si>
  <si>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</si>
  <si>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</si>
  <si>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</si>
  <si>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</si>
  <si>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</si>
  <si>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</si>
  <si>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</si>
  <si>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</si>
  <si>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</si>
  <si>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</si>
  <si>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</si>
  <si>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</si>
  <si>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</si>
  <si>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</si>
  <si>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</si>
  <si>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</si>
  <si>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</si>
  <si>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</si>
  <si>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</si>
  <si>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</si>
  <si>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</si>
  <si>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</si>
  <si>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</si>
  <si>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</si>
  <si>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</si>
  <si>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</si>
  <si>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</si>
  <si>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</si>
  <si>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</si>
  <si>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</si>
  <si>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</si>
  <si>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</si>
  <si>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</si>
  <si>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</si>
  <si>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</si>
  <si>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</si>
  <si>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</si>
  <si>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</si>
  <si>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</si>
  <si>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</si>
  <si>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</si>
  <si>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</si>
  <si>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</si>
  <si>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</si>
  <si>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</si>
  <si>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</si>
  <si>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</si>
  <si>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</si>
  <si>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</si>
  <si>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</si>
  <si>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</si>
  <si>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</si>
  <si>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</si>
  <si>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</si>
  <si>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</si>
  <si>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</si>
  <si>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</si>
  <si>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</si>
  <si>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</si>
  <si>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</si>
  <si>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</si>
  <si>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</si>
  <si>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</si>
  <si>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</si>
  <si>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</si>
  <si>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</si>
  <si>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</si>
  <si>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</si>
  <si>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</si>
  <si>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</si>
  <si>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</si>
  <si>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</si>
  <si>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</si>
  <si>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</si>
  <si>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</si>
  <si>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</si>
  <si>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</si>
  <si>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</si>
  <si>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</si>
  <si>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</si>
  <si>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</si>
  <si>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</si>
  <si>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</si>
  <si>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</si>
  <si>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</si>
  <si>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</si>
  <si>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</si>
  <si>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</si>
  <si>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</si>
  <si>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</si>
  <si>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</si>
  <si>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</si>
  <si>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</si>
  <si>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</si>
  <si>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</si>
  <si>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</si>
  <si>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</si>
  <si>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</si>
  <si>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</si>
  <si>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</si>
  <si>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</si>
  <si>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</si>
  <si>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</si>
  <si>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</si>
  <si>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</si>
  <si>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</si>
  <si>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</si>
  <si>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</si>
  <si>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</si>
  <si>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</si>
  <si>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</si>
  <si>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</si>
  <si>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</si>
  <si>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</si>
  <si>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</si>
  <si>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</si>
  <si>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</si>
  <si>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</si>
  <si>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</si>
  <si>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</si>
  <si>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</si>
  <si>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</si>
  <si>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</si>
  <si>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</si>
  <si>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</si>
  <si>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</si>
  <si>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</si>
  <si>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</si>
  <si>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</si>
  <si>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</si>
  <si>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</si>
  <si>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</si>
  <si>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</si>
  <si>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</si>
  <si>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</si>
  <si>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</si>
  <si>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</si>
  <si>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</si>
  <si>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</si>
  <si>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</si>
  <si>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</si>
  <si>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</si>
  <si>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</si>
  <si>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</si>
  <si>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</si>
  <si>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</si>
  <si>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</si>
  <si>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</si>
  <si>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</si>
  <si>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</si>
  <si>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</si>
  <si>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</si>
  <si>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</si>
  <si>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</si>
  <si>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</si>
  <si>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</si>
  <si>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</si>
  <si>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</si>
  <si>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</si>
  <si>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</si>
  <si>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</si>
  <si>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</si>
  <si>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</si>
  <si>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</si>
  <si>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</si>
  <si>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</si>
  <si>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</si>
  <si>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</si>
  <si>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</si>
  <si>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</si>
  <si>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</si>
  <si>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</si>
  <si>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</si>
  <si>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</si>
  <si>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</si>
  <si>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</si>
  <si>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</si>
  <si>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</si>
  <si>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</si>
  <si>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</si>
  <si>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</si>
  <si>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</si>
  <si>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</si>
  <si>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</si>
  <si>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</si>
  <si>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</si>
  <si>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</si>
  <si>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</si>
  <si>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</si>
  <si>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</si>
  <si>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</si>
  <si>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</si>
  <si>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</si>
  <si>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</si>
  <si>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</si>
  <si>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</si>
  <si>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</si>
  <si>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</si>
  <si>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</si>
  <si>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</si>
  <si>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</si>
  <si>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</si>
  <si>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</si>
  <si>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</si>
  <si>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</si>
  <si>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</si>
  <si>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</si>
  <si>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</si>
  <si>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I-00289</t>
  </si>
  <si>
    <t>Haier リモコン</t>
  </si>
  <si>
    <t>I-00290</t>
  </si>
  <si>
    <t>YAMAZEN リモコン</t>
  </si>
  <si>
    <t>I-00291</t>
  </si>
  <si>
    <t>ミニカッター 2本入</t>
  </si>
  <si>
    <t>I-00292</t>
  </si>
  <si>
    <t>LED電球</t>
  </si>
  <si>
    <t>I-00293</t>
  </si>
  <si>
    <t>マスキングテープ</t>
  </si>
  <si>
    <t>I-00294</t>
  </si>
  <si>
    <t>黒 マジックペン</t>
  </si>
  <si>
    <t>I-00295</t>
  </si>
  <si>
    <t>TWIN MARKER 黒</t>
  </si>
  <si>
    <t>I-00296</t>
  </si>
  <si>
    <t>白色 歯ブラシ</t>
  </si>
  <si>
    <t>I-00297</t>
  </si>
  <si>
    <t>カッターナイフ</t>
  </si>
  <si>
    <t>I-00298</t>
  </si>
  <si>
    <t>黒 ボールペン</t>
  </si>
  <si>
    <t>I-00299</t>
  </si>
  <si>
    <t>グレー ペン</t>
  </si>
  <si>
    <t>I-00300</t>
  </si>
  <si>
    <t>白 ハサミ</t>
  </si>
  <si>
    <t>I-00301</t>
  </si>
  <si>
    <t>緑 指サック 5個入</t>
  </si>
  <si>
    <t>I-00302</t>
  </si>
  <si>
    <t>ホッチキス</t>
  </si>
  <si>
    <t>I-00303</t>
  </si>
  <si>
    <t>黒 テープ</t>
  </si>
  <si>
    <t>I-00304</t>
  </si>
  <si>
    <t>超強力両面テープ</t>
  </si>
  <si>
    <t>I-00305</t>
  </si>
  <si>
    <t>30cm 定規</t>
  </si>
  <si>
    <t>I-00306</t>
  </si>
  <si>
    <t>クリップ</t>
  </si>
  <si>
    <t>I-00307</t>
  </si>
  <si>
    <t>ステレオイヤホン リール式</t>
  </si>
  <si>
    <t>I-00308</t>
  </si>
  <si>
    <t>QianLi ツール袋</t>
  </si>
  <si>
    <t>I-00309</t>
  </si>
  <si>
    <t>サングラス</t>
  </si>
  <si>
    <t>I-00310</t>
  </si>
  <si>
    <t>リール付ストラップ</t>
  </si>
  <si>
    <t>I-00311</t>
  </si>
  <si>
    <t>maxell 単3乾電池</t>
  </si>
  <si>
    <t>I-00312</t>
  </si>
  <si>
    <t>QianLi iToor PLUS</t>
  </si>
  <si>
    <t>I-00313</t>
  </si>
  <si>
    <t>ボタン電池</t>
  </si>
  <si>
    <t>I-00314</t>
  </si>
  <si>
    <t>CPUチップ</t>
  </si>
  <si>
    <t>I-00315</t>
  </si>
  <si>
    <t>白いロープ</t>
  </si>
  <si>
    <t>I-00316</t>
  </si>
  <si>
    <t>バーコード付き袋</t>
  </si>
  <si>
    <t>I-00317</t>
  </si>
  <si>
    <t>目薬</t>
  </si>
  <si>
    <t>I-00318</t>
  </si>
  <si>
    <t>USB基板部品</t>
  </si>
  <si>
    <t>I-00319</t>
  </si>
  <si>
    <t>電子工作パーツ</t>
  </si>
  <si>
    <t>I-00320</t>
  </si>
  <si>
    <t>精密スプリング</t>
  </si>
  <si>
    <t>I-00321</t>
  </si>
  <si>
    <t>クリーニングブラシ</t>
  </si>
  <si>
    <t>I-00322</t>
  </si>
  <si>
    <t>ピンセット</t>
  </si>
  <si>
    <t>I-00323</t>
  </si>
  <si>
    <t>I-00324</t>
  </si>
  <si>
    <t>ライター</t>
  </si>
  <si>
    <t>I-00325</t>
  </si>
  <si>
    <t>ウェットシート 備品</t>
  </si>
  <si>
    <t>I-00326</t>
  </si>
  <si>
    <t>ウェットシート Jet</t>
  </si>
  <si>
    <t>I-00327</t>
  </si>
  <si>
    <t>ウェットシート モニター</t>
  </si>
  <si>
    <t>I-00328</t>
  </si>
  <si>
    <t>ウェットシート 手前</t>
  </si>
  <si>
    <t>I-00329</t>
  </si>
  <si>
    <t>WATER BASED MARKER</t>
  </si>
  <si>
    <t>I-00330</t>
  </si>
  <si>
    <t>ピンク ハサミ</t>
  </si>
  <si>
    <t>I-00331</t>
  </si>
  <si>
    <t>ZEBRA 3色ボールペン</t>
  </si>
  <si>
    <t>I-00332</t>
  </si>
  <si>
    <t>ENERGEL ア souvenir</t>
  </si>
  <si>
    <t>I-00333</t>
  </si>
  <si>
    <t>PILOT 消しゴム</t>
  </si>
  <si>
    <t>I-00334</t>
  </si>
  <si>
    <t>青 ボールペン</t>
  </si>
  <si>
    <t>I-00335</t>
  </si>
  <si>
    <t>白 ボールペン</t>
  </si>
  <si>
    <t>I-00336</t>
  </si>
  <si>
    <t>黄色 マーカーペン</t>
  </si>
  <si>
    <t>I-00337</t>
  </si>
  <si>
    <t>赤 マーカーペン</t>
  </si>
  <si>
    <t>I-00338</t>
  </si>
  <si>
    <t>黒 シャープペン</t>
  </si>
  <si>
    <t>I-00339</t>
  </si>
  <si>
    <t>ビニール袋入りアイテム</t>
  </si>
  <si>
    <t>I-00340</t>
  </si>
  <si>
    <t>カラフル インデックス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</si>
</sst>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tabSelected="1"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25" workbookViewId="0">
      <selection activeCell="C42" sqref="C42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11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66"/>
  <sheetViews>
    <sheetView zoomScaleNormal="100" workbookViewId="0">
      <pane ySplit="1" topLeftCell="A356" activePane="bottomLeft" state="frozen"/>
      <selection pane="bottomLeft" activeCell="C371" sqref="C371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customWidth="1"/>
    <col min="6" max="6" width="23.625" style="29" customWidth="1"/>
    <col min="7" max="7" width="7.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1141</v>
      </c>
      <c r="B315" s="29" t="s">
        <v>635</v>
      </c>
      <c r="C315" s="29" t="s">
        <v>1142</v>
      </c>
      <c r="D315" t="s">
        <v>1047</v>
      </c>
      <c r="E315" t="s">
        <v>1173</v>
      </c>
      <c r="F315" s="29" t="s">
        <v>1174</v>
      </c>
    </row>
    <row r="316" spans="1:11">
      <c r="A316" s="29" t="s">
        <v>1141</v>
      </c>
      <c r="B316" s="29" t="s">
        <v>635</v>
      </c>
      <c r="C316" s="29" t="s">
        <v>1142</v>
      </c>
      <c r="D316" t="s">
        <v>1047</v>
      </c>
      <c r="E316" t="s">
        <v>1175</v>
      </c>
      <c r="F316" s="29" t="s">
        <v>1176</v>
      </c>
    </row>
    <row r="317" spans="1:11">
      <c r="A317" s="29" t="s">
        <v>1141</v>
      </c>
      <c r="B317" s="29" t="s">
        <v>635</v>
      </c>
      <c r="C317" s="29" t="s">
        <v>1142</v>
      </c>
      <c r="D317" t="s">
        <v>1047</v>
      </c>
      <c r="E317" t="s">
        <v>1177</v>
      </c>
      <c r="F317" s="29" t="s">
        <v>1178</v>
      </c>
    </row>
    <row r="318" spans="1:11">
      <c r="A318" s="29" t="s">
        <v>1141</v>
      </c>
      <c r="B318" s="29" t="s">
        <v>635</v>
      </c>
      <c r="C318" s="29" t="s">
        <v>1142</v>
      </c>
      <c r="D318" t="s">
        <v>1047</v>
      </c>
      <c r="E318" t="s">
        <v>1179</v>
      </c>
      <c r="F318" s="29" t="s">
        <v>1180</v>
      </c>
    </row>
    <row r="319" spans="1:11">
      <c r="A319" s="29" t="s">
        <v>1141</v>
      </c>
      <c r="B319" s="29" t="s">
        <v>635</v>
      </c>
      <c r="C319" s="29" t="s">
        <v>1142</v>
      </c>
      <c r="D319" t="s">
        <v>1047</v>
      </c>
      <c r="E319" t="s">
        <v>1181</v>
      </c>
      <c r="F319" s="29" t="s">
        <v>1182</v>
      </c>
    </row>
    <row r="320" spans="1:11">
      <c r="A320" s="29" t="s">
        <v>1141</v>
      </c>
      <c r="B320" s="29" t="s">
        <v>635</v>
      </c>
      <c r="C320" s="29" t="s">
        <v>1142</v>
      </c>
      <c r="D320" t="s">
        <v>1047</v>
      </c>
      <c r="E320" t="s">
        <v>1183</v>
      </c>
      <c r="F320" s="29" t="s">
        <v>1184</v>
      </c>
    </row>
    <row r="321" spans="1:6">
      <c r="A321" s="29" t="s">
        <v>1141</v>
      </c>
      <c r="B321" s="29" t="s">
        <v>635</v>
      </c>
      <c r="C321" s="29" t="s">
        <v>1142</v>
      </c>
      <c r="D321" t="s">
        <v>1047</v>
      </c>
      <c r="E321" t="s">
        <v>1185</v>
      </c>
      <c r="F321" s="29" t="s">
        <v>1186</v>
      </c>
    </row>
    <row r="322" spans="1:6">
      <c r="A322" s="29" t="s">
        <v>1141</v>
      </c>
      <c r="B322" s="29" t="s">
        <v>635</v>
      </c>
      <c r="C322" s="29" t="s">
        <v>1142</v>
      </c>
      <c r="D322" t="s">
        <v>1047</v>
      </c>
      <c r="E322" t="s">
        <v>1187</v>
      </c>
      <c r="F322" s="29" t="s">
        <v>1188</v>
      </c>
    </row>
    <row r="323" spans="1:6">
      <c r="A323" s="29" t="s">
        <v>1141</v>
      </c>
      <c r="B323" s="29" t="s">
        <v>635</v>
      </c>
      <c r="C323" s="29" t="s">
        <v>1142</v>
      </c>
      <c r="D323" t="s">
        <v>1047</v>
      </c>
      <c r="E323" t="s">
        <v>1189</v>
      </c>
      <c r="F323" s="29" t="s">
        <v>1190</v>
      </c>
    </row>
    <row r="324" spans="1:6">
      <c r="A324" s="29" t="s">
        <v>1141</v>
      </c>
      <c r="B324" s="29" t="s">
        <v>635</v>
      </c>
      <c r="C324" s="29" t="s">
        <v>1142</v>
      </c>
      <c r="D324" t="s">
        <v>1047</v>
      </c>
      <c r="E324" t="s">
        <v>1191</v>
      </c>
      <c r="F324" s="29" t="s">
        <v>1192</v>
      </c>
    </row>
    <row r="325" spans="1:6">
      <c r="A325" s="29" t="s">
        <v>1141</v>
      </c>
      <c r="B325" s="29" t="s">
        <v>635</v>
      </c>
      <c r="C325" s="29" t="s">
        <v>1142</v>
      </c>
      <c r="D325" t="s">
        <v>1047</v>
      </c>
      <c r="E325" t="s">
        <v>1193</v>
      </c>
      <c r="F325" s="29" t="s">
        <v>1194</v>
      </c>
    </row>
    <row r="326" spans="1:6">
      <c r="A326" s="29" t="s">
        <v>1141</v>
      </c>
      <c r="B326" s="29" t="s">
        <v>635</v>
      </c>
      <c r="C326" s="29" t="s">
        <v>1142</v>
      </c>
      <c r="D326" t="s">
        <v>1047</v>
      </c>
      <c r="E326" t="s">
        <v>1195</v>
      </c>
      <c r="F326" s="29" t="s">
        <v>1196</v>
      </c>
    </row>
    <row r="327" spans="1:6">
      <c r="A327" s="29" t="s">
        <v>1141</v>
      </c>
      <c r="B327" s="29" t="s">
        <v>635</v>
      </c>
      <c r="C327" s="29" t="s">
        <v>1142</v>
      </c>
      <c r="D327" t="s">
        <v>1047</v>
      </c>
      <c r="E327" t="s">
        <v>1197</v>
      </c>
      <c r="F327" s="29" t="s">
        <v>1198</v>
      </c>
    </row>
    <row r="328" spans="1:6">
      <c r="A328" s="29" t="s">
        <v>1141</v>
      </c>
      <c r="B328" s="29" t="s">
        <v>635</v>
      </c>
      <c r="C328" s="29" t="s">
        <v>1142</v>
      </c>
      <c r="D328" t="s">
        <v>1047</v>
      </c>
      <c r="E328" t="s">
        <v>1199</v>
      </c>
      <c r="F328" s="29" t="s">
        <v>1200</v>
      </c>
    </row>
    <row r="329" spans="1:6">
      <c r="A329" s="29" t="s">
        <v>1141</v>
      </c>
      <c r="B329" s="29" t="s">
        <v>635</v>
      </c>
      <c r="C329" s="29" t="s">
        <v>1142</v>
      </c>
      <c r="D329" t="s">
        <v>1047</v>
      </c>
      <c r="E329" t="s">
        <v>1201</v>
      </c>
      <c r="F329" s="29" t="s">
        <v>1202</v>
      </c>
    </row>
    <row r="330" spans="1:6">
      <c r="A330" s="29" t="s">
        <v>1141</v>
      </c>
      <c r="B330" s="29" t="s">
        <v>635</v>
      </c>
      <c r="C330" s="29" t="s">
        <v>1142</v>
      </c>
      <c r="D330" t="s">
        <v>1047</v>
      </c>
      <c r="E330" t="s">
        <v>1203</v>
      </c>
      <c r="F330" s="29" t="s">
        <v>1204</v>
      </c>
    </row>
    <row r="331" spans="1:6">
      <c r="A331" s="29" t="s">
        <v>1141</v>
      </c>
      <c r="B331" s="29" t="s">
        <v>635</v>
      </c>
      <c r="C331" s="29" t="s">
        <v>1142</v>
      </c>
      <c r="D331" t="s">
        <v>1047</v>
      </c>
      <c r="E331" t="s">
        <v>1205</v>
      </c>
      <c r="F331" s="29" t="s">
        <v>1206</v>
      </c>
    </row>
    <row r="332" spans="1:6">
      <c r="A332" s="29" t="s">
        <v>1141</v>
      </c>
      <c r="B332" s="29" t="s">
        <v>635</v>
      </c>
      <c r="C332" s="29" t="s">
        <v>1142</v>
      </c>
      <c r="D332" t="s">
        <v>1047</v>
      </c>
      <c r="E332" t="s">
        <v>1207</v>
      </c>
      <c r="F332" s="29" t="s">
        <v>1208</v>
      </c>
    </row>
    <row r="333" spans="1:6">
      <c r="A333" s="29" t="s">
        <v>1143</v>
      </c>
      <c r="B333" s="29" t="s">
        <v>635</v>
      </c>
      <c r="C333" s="29" t="s">
        <v>1144</v>
      </c>
      <c r="D333" t="s">
        <v>1047</v>
      </c>
      <c r="E333" t="s">
        <v>1209</v>
      </c>
      <c r="F333" s="29" t="s">
        <v>1210</v>
      </c>
    </row>
    <row r="334" spans="1:6">
      <c r="A334" s="29" t="s">
        <v>1143</v>
      </c>
      <c r="B334" s="29" t="s">
        <v>635</v>
      </c>
      <c r="C334" s="29" t="s">
        <v>1144</v>
      </c>
      <c r="D334" t="s">
        <v>1047</v>
      </c>
      <c r="E334" t="s">
        <v>1211</v>
      </c>
      <c r="F334" s="29" t="s">
        <v>1212</v>
      </c>
    </row>
    <row r="335" spans="1:6">
      <c r="A335" s="29" t="s">
        <v>1143</v>
      </c>
      <c r="B335" s="29" t="s">
        <v>635</v>
      </c>
      <c r="C335" s="29" t="s">
        <v>1144</v>
      </c>
      <c r="D335" t="s">
        <v>1047</v>
      </c>
      <c r="E335" t="s">
        <v>1213</v>
      </c>
      <c r="F335" s="29" t="s">
        <v>1214</v>
      </c>
    </row>
    <row r="336" spans="1:6">
      <c r="A336" s="29" t="s">
        <v>1143</v>
      </c>
      <c r="B336" s="29" t="s">
        <v>635</v>
      </c>
      <c r="C336" s="29" t="s">
        <v>1144</v>
      </c>
      <c r="D336" t="s">
        <v>1047</v>
      </c>
      <c r="E336" t="s">
        <v>1215</v>
      </c>
      <c r="F336" s="29" t="s">
        <v>1216</v>
      </c>
    </row>
    <row r="337" spans="1:6">
      <c r="A337" s="29" t="s">
        <v>1143</v>
      </c>
      <c r="B337" s="29" t="s">
        <v>635</v>
      </c>
      <c r="C337" s="29" t="s">
        <v>1144</v>
      </c>
      <c r="D337" t="s">
        <v>1047</v>
      </c>
      <c r="E337" t="s">
        <v>1217</v>
      </c>
      <c r="F337" s="29" t="s">
        <v>1218</v>
      </c>
    </row>
    <row r="338" spans="1:6">
      <c r="A338" s="29" t="s">
        <v>1143</v>
      </c>
      <c r="B338" s="29" t="s">
        <v>635</v>
      </c>
      <c r="C338" s="29" t="s">
        <v>1144</v>
      </c>
      <c r="D338" t="s">
        <v>1047</v>
      </c>
      <c r="E338" t="s">
        <v>1219</v>
      </c>
      <c r="F338" s="29" t="s">
        <v>1220</v>
      </c>
    </row>
    <row r="339" spans="1:6">
      <c r="A339" s="29" t="s">
        <v>1143</v>
      </c>
      <c r="B339" s="29" t="s">
        <v>635</v>
      </c>
      <c r="C339" s="29" t="s">
        <v>1144</v>
      </c>
      <c r="D339" t="s">
        <v>1047</v>
      </c>
      <c r="E339" t="s">
        <v>1221</v>
      </c>
      <c r="F339" s="29" t="s">
        <v>1222</v>
      </c>
    </row>
    <row r="340" spans="1:6">
      <c r="A340" s="29" t="s">
        <v>1143</v>
      </c>
      <c r="B340" s="29" t="s">
        <v>635</v>
      </c>
      <c r="C340" s="29" t="s">
        <v>1144</v>
      </c>
      <c r="D340" t="s">
        <v>1047</v>
      </c>
      <c r="E340" t="s">
        <v>1223</v>
      </c>
      <c r="F340" s="29" t="s">
        <v>1224</v>
      </c>
    </row>
    <row r="341" spans="1:6">
      <c r="A341" s="29" t="s">
        <v>1143</v>
      </c>
      <c r="B341" s="29" t="s">
        <v>635</v>
      </c>
      <c r="C341" s="29" t="s">
        <v>1144</v>
      </c>
      <c r="D341" t="s">
        <v>1047</v>
      </c>
      <c r="E341" t="s">
        <v>1225</v>
      </c>
      <c r="F341" s="29" t="s">
        <v>1226</v>
      </c>
    </row>
    <row r="342" spans="1:6">
      <c r="A342" s="29" t="s">
        <v>1143</v>
      </c>
      <c r="B342" s="29" t="s">
        <v>635</v>
      </c>
      <c r="C342" s="29" t="s">
        <v>1144</v>
      </c>
      <c r="D342" t="s">
        <v>1047</v>
      </c>
      <c r="E342" t="s">
        <v>1227</v>
      </c>
      <c r="F342" s="29" t="s">
        <v>1228</v>
      </c>
    </row>
    <row r="343" spans="1:6">
      <c r="A343" s="29" t="s">
        <v>1143</v>
      </c>
      <c r="B343" s="29" t="s">
        <v>635</v>
      </c>
      <c r="C343" s="29" t="s">
        <v>1144</v>
      </c>
      <c r="D343" t="s">
        <v>1047</v>
      </c>
      <c r="E343" t="s">
        <v>1229</v>
      </c>
      <c r="F343" s="29" t="s">
        <v>1230</v>
      </c>
    </row>
    <row r="344" spans="1:6">
      <c r="A344" s="29" t="s">
        <v>1143</v>
      </c>
      <c r="B344" s="29" t="s">
        <v>635</v>
      </c>
      <c r="C344" s="29" t="s">
        <v>1144</v>
      </c>
      <c r="D344" t="s">
        <v>1047</v>
      </c>
      <c r="E344" t="s">
        <v>1231</v>
      </c>
      <c r="F344" s="29" t="s">
        <v>1232</v>
      </c>
    </row>
    <row r="345" spans="1:6">
      <c r="A345" s="29" t="s">
        <v>1143</v>
      </c>
      <c r="B345" s="29" t="s">
        <v>635</v>
      </c>
      <c r="C345" s="29" t="s">
        <v>1144</v>
      </c>
      <c r="D345" t="s">
        <v>1047</v>
      </c>
      <c r="E345" t="s">
        <v>1233</v>
      </c>
      <c r="F345" s="29" t="s">
        <v>1234</v>
      </c>
    </row>
    <row r="346" spans="1:6">
      <c r="A346" s="29" t="s">
        <v>1143</v>
      </c>
      <c r="B346" s="29" t="s">
        <v>635</v>
      </c>
      <c r="C346" s="29" t="s">
        <v>1144</v>
      </c>
      <c r="D346" t="s">
        <v>1047</v>
      </c>
      <c r="E346" t="s">
        <v>1235</v>
      </c>
      <c r="F346" s="29" t="s">
        <v>1236</v>
      </c>
    </row>
    <row r="347" spans="1:6">
      <c r="A347" s="29" t="s">
        <v>1143</v>
      </c>
      <c r="B347" s="29" t="s">
        <v>635</v>
      </c>
      <c r="C347" s="29" t="s">
        <v>1144</v>
      </c>
      <c r="D347" t="s">
        <v>1047</v>
      </c>
      <c r="E347" t="s">
        <v>1237</v>
      </c>
      <c r="F347" s="29" t="s">
        <v>1238</v>
      </c>
    </row>
    <row r="348" spans="1:6">
      <c r="A348" s="29" t="s">
        <v>1143</v>
      </c>
      <c r="B348" s="29" t="s">
        <v>635</v>
      </c>
      <c r="C348" s="29" t="s">
        <v>1144</v>
      </c>
      <c r="D348" t="s">
        <v>1047</v>
      </c>
      <c r="E348" t="s">
        <v>1239</v>
      </c>
      <c r="F348" s="29" t="s">
        <v>1240</v>
      </c>
    </row>
    <row r="349" spans="1:6">
      <c r="A349" s="29" t="s">
        <v>1143</v>
      </c>
      <c r="B349" s="29" t="s">
        <v>635</v>
      </c>
      <c r="C349" s="29" t="s">
        <v>1144</v>
      </c>
      <c r="D349" t="s">
        <v>1047</v>
      </c>
      <c r="E349" t="s">
        <v>1241</v>
      </c>
      <c r="F349" s="29" t="s">
        <v>1208</v>
      </c>
    </row>
    <row r="350" spans="1:6">
      <c r="A350" s="29" t="s">
        <v>1143</v>
      </c>
      <c r="B350" s="29" t="s">
        <v>635</v>
      </c>
      <c r="C350" s="29" t="s">
        <v>1144</v>
      </c>
      <c r="D350" t="s">
        <v>1047</v>
      </c>
      <c r="E350" t="s">
        <v>1242</v>
      </c>
      <c r="F350" s="29" t="s">
        <v>1243</v>
      </c>
    </row>
    <row r="351" spans="1:6">
      <c r="A351" s="29" t="s">
        <v>1145</v>
      </c>
      <c r="B351" s="29" t="s">
        <v>635</v>
      </c>
      <c r="C351" s="29" t="s">
        <v>1146</v>
      </c>
      <c r="D351" t="s">
        <v>1047</v>
      </c>
      <c r="E351" t="s">
        <v>1244</v>
      </c>
      <c r="F351" s="29" t="s">
        <v>1245</v>
      </c>
    </row>
    <row r="352" spans="1:6">
      <c r="A352" s="29" t="s">
        <v>1145</v>
      </c>
      <c r="B352" s="29" t="s">
        <v>635</v>
      </c>
      <c r="C352" s="29" t="s">
        <v>1146</v>
      </c>
      <c r="D352" t="s">
        <v>1047</v>
      </c>
      <c r="E352" t="s">
        <v>1246</v>
      </c>
      <c r="F352" s="29" t="s">
        <v>1247</v>
      </c>
    </row>
    <row r="353" spans="1:6">
      <c r="A353" s="29" t="s">
        <v>1145</v>
      </c>
      <c r="B353" s="29" t="s">
        <v>635</v>
      </c>
      <c r="C353" s="29" t="s">
        <v>1146</v>
      </c>
      <c r="D353" t="s">
        <v>1047</v>
      </c>
      <c r="E353" t="s">
        <v>1248</v>
      </c>
      <c r="F353" s="29" t="s">
        <v>1249</v>
      </c>
    </row>
    <row r="354" spans="1:6">
      <c r="A354" s="29" t="s">
        <v>1145</v>
      </c>
      <c r="B354" s="29" t="s">
        <v>635</v>
      </c>
      <c r="C354" s="29" t="s">
        <v>1146</v>
      </c>
      <c r="D354" t="s">
        <v>1047</v>
      </c>
      <c r="E354" t="s">
        <v>1250</v>
      </c>
      <c r="F354" s="29" t="s">
        <v>1251</v>
      </c>
    </row>
    <row r="355" spans="1:6">
      <c r="A355" s="29" t="s">
        <v>1145</v>
      </c>
      <c r="B355" s="29" t="s">
        <v>635</v>
      </c>
      <c r="C355" s="29" t="s">
        <v>1146</v>
      </c>
      <c r="D355" t="s">
        <v>1047</v>
      </c>
      <c r="E355" t="s">
        <v>1252</v>
      </c>
      <c r="F355" s="29" t="s">
        <v>1253</v>
      </c>
    </row>
    <row r="356" spans="1:6">
      <c r="A356" s="29" t="s">
        <v>1145</v>
      </c>
      <c r="B356" s="29" t="s">
        <v>635</v>
      </c>
      <c r="C356" s="29" t="s">
        <v>1146</v>
      </c>
      <c r="D356" t="s">
        <v>1047</v>
      </c>
      <c r="E356" t="s">
        <v>1254</v>
      </c>
      <c r="F356" s="29" t="s">
        <v>1255</v>
      </c>
    </row>
    <row r="357" spans="1:6">
      <c r="A357" s="29" t="s">
        <v>1145</v>
      </c>
      <c r="B357" s="29" t="s">
        <v>635</v>
      </c>
      <c r="C357" s="29" t="s">
        <v>1146</v>
      </c>
      <c r="D357" t="s">
        <v>1047</v>
      </c>
      <c r="E357" t="s">
        <v>1256</v>
      </c>
      <c r="F357" s="29" t="s">
        <v>1257</v>
      </c>
    </row>
    <row r="358" spans="1:6">
      <c r="A358" s="29" t="s">
        <v>1145</v>
      </c>
      <c r="B358" s="29" t="s">
        <v>635</v>
      </c>
      <c r="C358" s="29" t="s">
        <v>1146</v>
      </c>
      <c r="D358" t="s">
        <v>1047</v>
      </c>
      <c r="E358" t="s">
        <v>1258</v>
      </c>
      <c r="F358" s="29" t="s">
        <v>1259</v>
      </c>
    </row>
    <row r="359" spans="1:6">
      <c r="A359" s="29" t="s">
        <v>1145</v>
      </c>
      <c r="B359" s="29" t="s">
        <v>635</v>
      </c>
      <c r="C359" s="29" t="s">
        <v>1146</v>
      </c>
      <c r="D359" t="s">
        <v>1047</v>
      </c>
      <c r="E359" t="s">
        <v>1260</v>
      </c>
      <c r="F359" s="29" t="s">
        <v>1261</v>
      </c>
    </row>
    <row r="360" spans="1:6">
      <c r="A360" s="29" t="s">
        <v>1145</v>
      </c>
      <c r="B360" s="29" t="s">
        <v>635</v>
      </c>
      <c r="C360" s="29" t="s">
        <v>1146</v>
      </c>
      <c r="D360" t="s">
        <v>1047</v>
      </c>
      <c r="E360" t="s">
        <v>1262</v>
      </c>
      <c r="F360" s="29" t="s">
        <v>1263</v>
      </c>
    </row>
    <row r="361" spans="1:6">
      <c r="A361" s="29" t="s">
        <v>1145</v>
      </c>
      <c r="B361" s="29" t="s">
        <v>635</v>
      </c>
      <c r="C361" s="29" t="s">
        <v>1146</v>
      </c>
      <c r="D361" t="s">
        <v>1047</v>
      </c>
      <c r="E361" t="s">
        <v>1264</v>
      </c>
      <c r="F361" s="29" t="s">
        <v>1265</v>
      </c>
    </row>
    <row r="362" spans="1:6">
      <c r="A362" s="29" t="s">
        <v>1145</v>
      </c>
      <c r="B362" s="29" t="s">
        <v>635</v>
      </c>
      <c r="C362" s="29" t="s">
        <v>1146</v>
      </c>
      <c r="D362" t="s">
        <v>1047</v>
      </c>
      <c r="E362" t="s">
        <v>1266</v>
      </c>
      <c r="F362" s="29" t="s">
        <v>1267</v>
      </c>
    </row>
    <row r="363" spans="1:6">
      <c r="A363" s="29" t="s">
        <v>1145</v>
      </c>
      <c r="B363" s="29" t="s">
        <v>635</v>
      </c>
      <c r="C363" s="29" t="s">
        <v>1146</v>
      </c>
      <c r="D363" t="s">
        <v>1047</v>
      </c>
      <c r="E363" t="s">
        <v>1268</v>
      </c>
      <c r="F363" s="29" t="s">
        <v>1269</v>
      </c>
    </row>
    <row r="364" spans="1:6">
      <c r="A364" s="29" t="s">
        <v>1145</v>
      </c>
      <c r="B364" s="29" t="s">
        <v>635</v>
      </c>
      <c r="C364" s="29" t="s">
        <v>1146</v>
      </c>
      <c r="D364" t="s">
        <v>1047</v>
      </c>
      <c r="E364" t="s">
        <v>1270</v>
      </c>
      <c r="F364" s="29" t="s">
        <v>1271</v>
      </c>
    </row>
    <row r="365" spans="1:6">
      <c r="A365" s="29" t="s">
        <v>1145</v>
      </c>
      <c r="B365" s="29" t="s">
        <v>635</v>
      </c>
      <c r="C365" s="29" t="s">
        <v>1146</v>
      </c>
      <c r="D365" t="s">
        <v>1047</v>
      </c>
      <c r="E365" t="s">
        <v>1272</v>
      </c>
      <c r="F365" s="29" t="s">
        <v>1273</v>
      </c>
    </row>
    <row r="366" spans="1:6">
      <c r="A366" s="29" t="s">
        <v>1145</v>
      </c>
      <c r="B366" s="29" t="s">
        <v>635</v>
      </c>
      <c r="C366" s="29" t="s">
        <v>1146</v>
      </c>
      <c r="D366" t="s">
        <v>1047</v>
      </c>
      <c r="E366" t="s">
        <v>1274</v>
      </c>
      <c r="F366" s="29" t="s">
        <v>1275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T-0203</v>
      </c>
      <c r="F320" t="str">
        <f>IFERROR(INDEX(C項目!$E:$E,MATCH(アイテムビューア!$E320,C項目!$D:$D,0)),"")</f>
        <v/>
      </c>
      <c r="G320" t="str">
        <f>アイテム項目!$E315</f>
        <v>I-00289</v>
      </c>
      <c r="H320" t="str">
        <f>アイテム項目!$F315</f>
        <v>Haier リモコン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アイテム項目!$A316</f>
        <v>T-0203</v>
      </c>
      <c r="F321" t="str">
        <f>IFERROR(INDEX(C項目!$E:$E,MATCH(アイテムビューア!$E321,C項目!$D:$D,0)),"")</f>
        <v/>
      </c>
      <c r="G321" t="str">
        <f>アイテム項目!$E316</f>
        <v>I-00290</v>
      </c>
      <c r="H321" t="str">
        <f>アイテム項目!$F316</f>
        <v>YAMAZEN リモコン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アイテム項目!$A317</f>
        <v>T-0203</v>
      </c>
      <c r="F322" t="str">
        <f>IFERROR(INDEX(C項目!$E:$E,MATCH(アイテムビューア!$E322,C項目!$D:$D,0)),"")</f>
        <v/>
      </c>
      <c r="G322" t="str">
        <f>アイテム項目!$E317</f>
        <v>I-00291</v>
      </c>
      <c r="H322" t="str">
        <f>アイテム項目!$F317</f>
        <v>ミニカッター 2本入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アイテム項目!$A318</f>
        <v>T-0203</v>
      </c>
      <c r="F323" t="str">
        <f>IFERROR(INDEX(C項目!$E:$E,MATCH(アイテムビューア!$E323,C項目!$D:$D,0)),"")</f>
        <v/>
      </c>
      <c r="G323" t="str">
        <f>アイテム項目!$E318</f>
        <v>I-00292</v>
      </c>
      <c r="H323" t="str">
        <f>アイテム項目!$F318</f>
        <v>LED電球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アイテム項目!$A319</f>
        <v>T-0203</v>
      </c>
      <c r="F324" t="str">
        <f>IFERROR(INDEX(C項目!$E:$E,MATCH(アイテムビューア!$E324,C項目!$D:$D,0)),"")</f>
        <v/>
      </c>
      <c r="G324" t="str">
        <f>アイテム項目!$E319</f>
        <v>I-00293</v>
      </c>
      <c r="H324" t="str">
        <f>アイテム項目!$F319</f>
        <v>マスキングテープ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アイテム項目!$A320</f>
        <v>T-0203</v>
      </c>
      <c r="F325" t="str">
        <f>IFERROR(INDEX(C項目!$E:$E,MATCH(アイテムビューア!$E325,C項目!$D:$D,0)),"")</f>
        <v/>
      </c>
      <c r="G325" t="str">
        <f>アイテム項目!$E320</f>
        <v>I-00294</v>
      </c>
      <c r="H325" t="str">
        <f>アイテム項目!$F320</f>
        <v>黒 マジックペン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 t="str">
        <f>アイテム項目!$A321</f>
        <v>T-0203</v>
      </c>
      <c r="F326" t="str">
        <f>IFERROR(INDEX(C項目!$E:$E,MATCH(アイテムビューア!$E326,C項目!$D:$D,0)),"")</f>
        <v/>
      </c>
      <c r="G326" t="str">
        <f>アイテム項目!$E321</f>
        <v>I-00295</v>
      </c>
      <c r="H326" t="str">
        <f>アイテム項目!$F321</f>
        <v>TWIN MARKER 黒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アイテム項目!$A322</f>
        <v>T-0203</v>
      </c>
      <c r="F327" t="str">
        <f>IFERROR(INDEX(C項目!$E:$E,MATCH(アイテムビューア!$E327,C項目!$D:$D,0)),"")</f>
        <v/>
      </c>
      <c r="G327" t="str">
        <f>アイテム項目!$E322</f>
        <v>I-00296</v>
      </c>
      <c r="H327" t="str">
        <f>アイテム項目!$F322</f>
        <v>白色 歯ブラシ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アイテム項目!$A323</f>
        <v>T-0203</v>
      </c>
      <c r="F328" t="str">
        <f>IFERROR(INDEX(C項目!$E:$E,MATCH(アイテムビューア!$E328,C項目!$D:$D,0)),"")</f>
        <v/>
      </c>
      <c r="G328" t="str">
        <f>アイテム項目!$E323</f>
        <v>I-00297</v>
      </c>
      <c r="H328" t="str">
        <f>アイテム項目!$F323</f>
        <v>カッターナイフ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アイテム項目!$A324</f>
        <v>T-0203</v>
      </c>
      <c r="F329" t="str">
        <f>IFERROR(INDEX(C項目!$E:$E,MATCH(アイテムビューア!$E329,C項目!$D:$D,0)),"")</f>
        <v/>
      </c>
      <c r="G329" t="str">
        <f>アイテム項目!$E324</f>
        <v>I-00298</v>
      </c>
      <c r="H329" t="str">
        <f>アイテム項目!$F324</f>
        <v>黒 ボールペン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アイテム項目!$A325</f>
        <v>T-0203</v>
      </c>
      <c r="F330" t="str">
        <f>IFERROR(INDEX(C項目!$E:$E,MATCH(アイテムビューア!$E330,C項目!$D:$D,0)),"")</f>
        <v/>
      </c>
      <c r="G330" t="str">
        <f>アイテム項目!$E325</f>
        <v>I-00299</v>
      </c>
      <c r="H330" t="str">
        <f>アイテム項目!$F325</f>
        <v>グレー ペン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アイテム項目!$A326</f>
        <v>T-0203</v>
      </c>
      <c r="F331" t="str">
        <f>IFERROR(INDEX(C項目!$E:$E,MATCH(アイテムビューア!$E331,C項目!$D:$D,0)),"")</f>
        <v/>
      </c>
      <c r="G331" t="str">
        <f>アイテム項目!$E326</f>
        <v>I-00300</v>
      </c>
      <c r="H331" t="str">
        <f>アイテム項目!$F326</f>
        <v>白 ハサミ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アイテム項目!$A327</f>
        <v>T-0203</v>
      </c>
      <c r="F332" t="str">
        <f>IFERROR(INDEX(C項目!$E:$E,MATCH(アイテムビューア!$E332,C項目!$D:$D,0)),"")</f>
        <v/>
      </c>
      <c r="G332" t="str">
        <f>アイテム項目!$E327</f>
        <v>I-00301</v>
      </c>
      <c r="H332" t="str">
        <f>アイテム項目!$F327</f>
        <v>緑 指サック 5個入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アイテム項目!$A328</f>
        <v>T-0203</v>
      </c>
      <c r="F333" t="str">
        <f>IFERROR(INDEX(C項目!$E:$E,MATCH(アイテムビューア!$E333,C項目!$D:$D,0)),"")</f>
        <v/>
      </c>
      <c r="G333" t="str">
        <f>アイテム項目!$E328</f>
        <v>I-00302</v>
      </c>
      <c r="H333" t="str">
        <f>アイテム項目!$F328</f>
        <v>ホッチキス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アイテム項目!$A329</f>
        <v>T-0203</v>
      </c>
      <c r="F334" t="str">
        <f>IFERROR(INDEX(C項目!$E:$E,MATCH(アイテムビューア!$E334,C項目!$D:$D,0)),"")</f>
        <v/>
      </c>
      <c r="G334" t="str">
        <f>アイテム項目!$E329</f>
        <v>I-00303</v>
      </c>
      <c r="H334" t="str">
        <f>アイテム項目!$F329</f>
        <v>黒 テープ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アイテム項目!$A330</f>
        <v>T-0203</v>
      </c>
      <c r="F335" t="str">
        <f>IFERROR(INDEX(C項目!$E:$E,MATCH(アイテムビューア!$E335,C項目!$D:$D,0)),"")</f>
        <v/>
      </c>
      <c r="G335" t="str">
        <f>アイテム項目!$E330</f>
        <v>I-00304</v>
      </c>
      <c r="H335" t="str">
        <f>アイテム項目!$F330</f>
        <v>超強力両面テープ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アイテム項目!$A331</f>
        <v>T-0203</v>
      </c>
      <c r="F336" t="str">
        <f>IFERROR(INDEX(C項目!$E:$E,MATCH(アイテムビューア!$E336,C項目!$D:$D,0)),"")</f>
        <v/>
      </c>
      <c r="G336" t="str">
        <f>アイテム項目!$E331</f>
        <v>I-00305</v>
      </c>
      <c r="H336" t="str">
        <f>アイテム項目!$F331</f>
        <v>30cm 定規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アイテム項目!$A332</f>
        <v>T-0203</v>
      </c>
      <c r="F337" t="str">
        <f>IFERROR(INDEX(C項目!$E:$E,MATCH(アイテムビューア!$E337,C項目!$D:$D,0)),"")</f>
        <v/>
      </c>
      <c r="G337" t="str">
        <f>アイテム項目!$E332</f>
        <v>I-00306</v>
      </c>
      <c r="H337" t="str">
        <f>アイテム項目!$F332</f>
        <v>クリップ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アイテム項目!$A333</f>
        <v>T-0204</v>
      </c>
      <c r="F338" t="str">
        <f>IFERROR(INDEX(C項目!$E:$E,MATCH(アイテムビューア!$E338,C項目!$D:$D,0)),"")</f>
        <v/>
      </c>
      <c r="G338" t="str">
        <f>アイテム項目!$E333</f>
        <v>I-00307</v>
      </c>
      <c r="H338" t="str">
        <f>アイテム項目!$F333</f>
        <v>ステレオイヤホン リール式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アイテム項目!$A334</f>
        <v>T-0204</v>
      </c>
      <c r="F339" t="str">
        <f>IFERROR(INDEX(C項目!$E:$E,MATCH(アイテムビューア!$E339,C項目!$D:$D,0)),"")</f>
        <v/>
      </c>
      <c r="G339" t="str">
        <f>アイテム項目!$E334</f>
        <v>I-00308</v>
      </c>
      <c r="H339" t="str">
        <f>アイテム項目!$F334</f>
        <v>QianLi ツール袋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アイテム項目!$A335</f>
        <v>T-0204</v>
      </c>
      <c r="F340" t="str">
        <f>IFERROR(INDEX(C項目!$E:$E,MATCH(アイテムビューア!$E340,C項目!$D:$D,0)),"")</f>
        <v/>
      </c>
      <c r="G340" t="str">
        <f>アイテム項目!$E335</f>
        <v>I-00309</v>
      </c>
      <c r="H340" t="str">
        <f>アイテム項目!$F335</f>
        <v>サングラス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 t="str">
        <f>アイテム項目!$A336</f>
        <v>T-0204</v>
      </c>
      <c r="F341" t="str">
        <f>IFERROR(INDEX(C項目!$E:$E,MATCH(アイテムビューア!$E341,C項目!$D:$D,0)),"")</f>
        <v/>
      </c>
      <c r="G341" t="str">
        <f>アイテム項目!$E336</f>
        <v>I-00310</v>
      </c>
      <c r="H341" t="str">
        <f>アイテム項目!$F336</f>
        <v>リール付ストラップ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 t="str">
        <f>アイテム項目!$A337</f>
        <v>T-0204</v>
      </c>
      <c r="F342" t="str">
        <f>IFERROR(INDEX(C項目!$E:$E,MATCH(アイテムビューア!$E342,C項目!$D:$D,0)),"")</f>
        <v/>
      </c>
      <c r="G342" t="str">
        <f>アイテム項目!$E337</f>
        <v>I-00311</v>
      </c>
      <c r="H342" t="str">
        <f>アイテム項目!$F337</f>
        <v>maxell 単3乾電池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 t="str">
        <f>アイテム項目!$A338</f>
        <v>T-0204</v>
      </c>
      <c r="F343" t="str">
        <f>IFERROR(INDEX(C項目!$E:$E,MATCH(アイテムビューア!$E343,C項目!$D:$D,0)),"")</f>
        <v/>
      </c>
      <c r="G343" t="str">
        <f>アイテム項目!$E338</f>
        <v>I-00312</v>
      </c>
      <c r="H343" t="str">
        <f>アイテム項目!$F338</f>
        <v>QianLi iToor PLUS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 t="str">
        <f>アイテム項目!$A339</f>
        <v>T-0204</v>
      </c>
      <c r="F344" t="str">
        <f>IFERROR(INDEX(C項目!$E:$E,MATCH(アイテムビューア!$E344,C項目!$D:$D,0)),"")</f>
        <v/>
      </c>
      <c r="G344" t="str">
        <f>アイテム項目!$E339</f>
        <v>I-00313</v>
      </c>
      <c r="H344" t="str">
        <f>アイテム項目!$F339</f>
        <v>ボタン電池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 t="str">
        <f>アイテム項目!$A340</f>
        <v>T-0204</v>
      </c>
      <c r="F345" t="str">
        <f>IFERROR(INDEX(C項目!$E:$E,MATCH(アイテムビューア!$E345,C項目!$D:$D,0)),"")</f>
        <v/>
      </c>
      <c r="G345" t="str">
        <f>アイテム項目!$E340</f>
        <v>I-00314</v>
      </c>
      <c r="H345" t="str">
        <f>アイテム項目!$F340</f>
        <v>CPUチップ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 t="str">
        <f>アイテム項目!$A341</f>
        <v>T-0204</v>
      </c>
      <c r="F346" t="str">
        <f>IFERROR(INDEX(C項目!$E:$E,MATCH(アイテムビューア!$E346,C項目!$D:$D,0)),"")</f>
        <v/>
      </c>
      <c r="G346" t="str">
        <f>アイテム項目!$E341</f>
        <v>I-00315</v>
      </c>
      <c r="H346" t="str">
        <f>アイテム項目!$F341</f>
        <v>白いロープ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アイテム項目!$A342</f>
        <v>T-0204</v>
      </c>
      <c r="F347" t="str">
        <f>IFERROR(INDEX(C項目!$E:$E,MATCH(アイテムビューア!$E347,C項目!$D:$D,0)),"")</f>
        <v/>
      </c>
      <c r="G347" t="str">
        <f>アイテム項目!$E342</f>
        <v>I-00316</v>
      </c>
      <c r="H347" t="str">
        <f>アイテム項目!$F342</f>
        <v>バーコード付き袋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アイテム項目!$A343</f>
        <v>T-0204</v>
      </c>
      <c r="F348" t="str">
        <f>IFERROR(INDEX(C項目!$E:$E,MATCH(アイテムビューア!$E348,C項目!$D:$D,0)),"")</f>
        <v/>
      </c>
      <c r="G348" t="str">
        <f>アイテム項目!$E343</f>
        <v>I-00317</v>
      </c>
      <c r="H348" t="str">
        <f>アイテム項目!$F343</f>
        <v>目薬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 t="str">
        <f>アイテム項目!$A344</f>
        <v>T-0204</v>
      </c>
      <c r="F349" t="str">
        <f>IFERROR(INDEX(C項目!$E:$E,MATCH(アイテムビューア!$E349,C項目!$D:$D,0)),"")</f>
        <v/>
      </c>
      <c r="G349" t="str">
        <f>アイテム項目!$E344</f>
        <v>I-00318</v>
      </c>
      <c r="H349" t="str">
        <f>アイテム項目!$F344</f>
        <v>USB基板部品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 t="str">
        <f>アイテム項目!$A345</f>
        <v>T-0204</v>
      </c>
      <c r="F350" t="str">
        <f>IFERROR(INDEX(C項目!$E:$E,MATCH(アイテムビューア!$E350,C項目!$D:$D,0)),"")</f>
        <v/>
      </c>
      <c r="G350" t="str">
        <f>アイテム項目!$E345</f>
        <v>I-00319</v>
      </c>
      <c r="H350" t="str">
        <f>アイテム項目!$F345</f>
        <v>電子工作パーツ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 t="str">
        <f>アイテム項目!$A346</f>
        <v>T-0204</v>
      </c>
      <c r="F351" t="str">
        <f>IFERROR(INDEX(C項目!$E:$E,MATCH(アイテムビューア!$E351,C項目!$D:$D,0)),"")</f>
        <v/>
      </c>
      <c r="G351" t="str">
        <f>アイテム項目!$E346</f>
        <v>I-00320</v>
      </c>
      <c r="H351" t="str">
        <f>アイテム項目!$F346</f>
        <v>精密スプリング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 t="str">
        <f>アイテム項目!$A347</f>
        <v>T-0204</v>
      </c>
      <c r="F352" t="str">
        <f>IFERROR(INDEX(C項目!$E:$E,MATCH(アイテムビューア!$E352,C項目!$D:$D,0)),"")</f>
        <v/>
      </c>
      <c r="G352" t="str">
        <f>アイテム項目!$E347</f>
        <v>I-00321</v>
      </c>
      <c r="H352" t="str">
        <f>アイテム項目!$F347</f>
        <v>クリーニングブラシ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 t="str">
        <f>アイテム項目!$A348</f>
        <v>T-0204</v>
      </c>
      <c r="F353" t="str">
        <f>IFERROR(INDEX(C項目!$E:$E,MATCH(アイテムビューア!$E353,C項目!$D:$D,0)),"")</f>
        <v/>
      </c>
      <c r="G353" t="str">
        <f>アイテム項目!$E348</f>
        <v>I-00322</v>
      </c>
      <c r="H353" t="str">
        <f>アイテム項目!$F348</f>
        <v>ピンセット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 t="str">
        <f>アイテム項目!$A349</f>
        <v>T-0204</v>
      </c>
      <c r="F354" t="str">
        <f>IFERROR(INDEX(C項目!$E:$E,MATCH(アイテムビューア!$E354,C項目!$D:$D,0)),"")</f>
        <v/>
      </c>
      <c r="G354" t="str">
        <f>アイテム項目!$E349</f>
        <v>I-00323</v>
      </c>
      <c r="H354" t="str">
        <f>アイテム項目!$F349</f>
        <v>クリップ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 t="str">
        <f>アイテム項目!$A350</f>
        <v>T-0204</v>
      </c>
      <c r="F355" t="str">
        <f>IFERROR(INDEX(C項目!$E:$E,MATCH(アイテムビューア!$E355,C項目!$D:$D,0)),"")</f>
        <v/>
      </c>
      <c r="G355" t="str">
        <f>アイテム項目!$E350</f>
        <v>I-00324</v>
      </c>
      <c r="H355" t="str">
        <f>アイテム項目!$F350</f>
        <v>ライター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 t="str">
        <f>アイテム項目!$A351</f>
        <v>T-0205</v>
      </c>
      <c r="F356" t="str">
        <f>IFERROR(INDEX(C項目!$E:$E,MATCH(アイテムビューア!$E356,C項目!$D:$D,0)),"")</f>
        <v/>
      </c>
      <c r="G356" t="str">
        <f>アイテム項目!$E351</f>
        <v>I-00325</v>
      </c>
      <c r="H356" t="str">
        <f>アイテム項目!$F351</f>
        <v>ウェットシート 備品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 t="str">
        <f>アイテム項目!$A352</f>
        <v>T-0205</v>
      </c>
      <c r="F357" t="str">
        <f>IFERROR(INDEX(C項目!$E:$E,MATCH(アイテムビューア!$E357,C項目!$D:$D,0)),"")</f>
        <v/>
      </c>
      <c r="G357" t="str">
        <f>アイテム項目!$E352</f>
        <v>I-00326</v>
      </c>
      <c r="H357" t="str">
        <f>アイテム項目!$F352</f>
        <v>ウェットシート Jet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 t="str">
        <f>アイテム項目!$A353</f>
        <v>T-0205</v>
      </c>
      <c r="F358" t="str">
        <f>IFERROR(INDEX(C項目!$E:$E,MATCH(アイテムビューア!$E358,C項目!$D:$D,0)),"")</f>
        <v/>
      </c>
      <c r="G358" t="str">
        <f>アイテム項目!$E353</f>
        <v>I-00327</v>
      </c>
      <c r="H358" t="str">
        <f>アイテム項目!$F353</f>
        <v>ウェットシート モニター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 t="str">
        <f>アイテム項目!$A354</f>
        <v>T-0205</v>
      </c>
      <c r="F359" t="str">
        <f>IFERROR(INDEX(C項目!$E:$E,MATCH(アイテムビューア!$E359,C項目!$D:$D,0)),"")</f>
        <v/>
      </c>
      <c r="G359" t="str">
        <f>アイテム項目!$E354</f>
        <v>I-00328</v>
      </c>
      <c r="H359" t="str">
        <f>アイテム項目!$F354</f>
        <v>ウェットシート 手前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 t="str">
        <f>アイテム項目!$A355</f>
        <v>T-0205</v>
      </c>
      <c r="F360" t="str">
        <f>IFERROR(INDEX(C項目!$E:$E,MATCH(アイテムビューア!$E360,C項目!$D:$D,0)),"")</f>
        <v/>
      </c>
      <c r="G360" t="str">
        <f>アイテム項目!$E355</f>
        <v>I-00329</v>
      </c>
      <c r="H360" t="str">
        <f>アイテム項目!$F355</f>
        <v>WATER BASED MARKER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 t="str">
        <f>アイテム項目!$A356</f>
        <v>T-0205</v>
      </c>
      <c r="F361" t="str">
        <f>IFERROR(INDEX(C項目!$E:$E,MATCH(アイテムビューア!$E361,C項目!$D:$D,0)),"")</f>
        <v/>
      </c>
      <c r="G361" t="str">
        <f>アイテム項目!$E356</f>
        <v>I-00330</v>
      </c>
      <c r="H361" t="str">
        <f>アイテム項目!$F356</f>
        <v>ピンク ハサミ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 t="str">
        <f>アイテム項目!$A357</f>
        <v>T-0205</v>
      </c>
      <c r="F362" t="str">
        <f>IFERROR(INDEX(C項目!$E:$E,MATCH(アイテムビューア!$E362,C項目!$D:$D,0)),"")</f>
        <v/>
      </c>
      <c r="G362" t="str">
        <f>アイテム項目!$E357</f>
        <v>I-00331</v>
      </c>
      <c r="H362" t="str">
        <f>アイテム項目!$F357</f>
        <v>ZEBRA 3色ボールペン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 t="str">
        <f>アイテム項目!$A358</f>
        <v>T-0205</v>
      </c>
      <c r="F363" t="str">
        <f>IFERROR(INDEX(C項目!$E:$E,MATCH(アイテムビューア!$E363,C項目!$D:$D,0)),"")</f>
        <v/>
      </c>
      <c r="G363" t="str">
        <f>アイテム項目!$E358</f>
        <v>I-00332</v>
      </c>
      <c r="H363" t="str">
        <f>アイテム項目!$F358</f>
        <v>ENERGEL ア souvenir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 t="str">
        <f>アイテム項目!$A359</f>
        <v>T-0205</v>
      </c>
      <c r="F364" t="str">
        <f>IFERROR(INDEX(C項目!$E:$E,MATCH(アイテムビューア!$E364,C項目!$D:$D,0)),"")</f>
        <v/>
      </c>
      <c r="G364" t="str">
        <f>アイテム項目!$E359</f>
        <v>I-00333</v>
      </c>
      <c r="H364" t="str">
        <f>アイテム項目!$F359</f>
        <v>PILOT 消しゴム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 t="str">
        <f>アイテム項目!$A360</f>
        <v>T-0205</v>
      </c>
      <c r="F365" t="str">
        <f>IFERROR(INDEX(C項目!$E:$E,MATCH(アイテムビューア!$E365,C項目!$D:$D,0)),"")</f>
        <v/>
      </c>
      <c r="G365" t="str">
        <f>アイテム項目!$E360</f>
        <v>I-00334</v>
      </c>
      <c r="H365" t="str">
        <f>アイテム項目!$F360</f>
        <v>青 ボールペン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 t="str">
        <f>アイテム項目!$A361</f>
        <v>T-0205</v>
      </c>
      <c r="F366" t="str">
        <f>IFERROR(INDEX(C項目!$E:$E,MATCH(アイテムビューア!$E366,C項目!$D:$D,0)),"")</f>
        <v/>
      </c>
      <c r="G366" t="str">
        <f>アイテム項目!$E361</f>
        <v>I-00335</v>
      </c>
      <c r="H366" t="str">
        <f>アイテム項目!$F361</f>
        <v>白 ボールペン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 t="str">
        <f>アイテム項目!$A362</f>
        <v>T-0205</v>
      </c>
      <c r="F367" t="str">
        <f>IFERROR(INDEX(C項目!$E:$E,MATCH(アイテムビューア!$E367,C項目!$D:$D,0)),"")</f>
        <v/>
      </c>
      <c r="G367" t="str">
        <f>アイテム項目!$E362</f>
        <v>I-00336</v>
      </c>
      <c r="H367" t="str">
        <f>アイテム項目!$F362</f>
        <v>黄色 マーカーペン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 t="str">
        <f>アイテム項目!$A363</f>
        <v>T-0205</v>
      </c>
      <c r="F368" t="str">
        <f>IFERROR(INDEX(C項目!$E:$E,MATCH(アイテムビューア!$E368,C項目!$D:$D,0)),"")</f>
        <v/>
      </c>
      <c r="G368" t="str">
        <f>アイテム項目!$E363</f>
        <v>I-00337</v>
      </c>
      <c r="H368" t="str">
        <f>アイテム項目!$F363</f>
        <v>赤 マーカーペン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 t="str">
        <f>アイテム項目!$A364</f>
        <v>T-0205</v>
      </c>
      <c r="F369" t="str">
        <f>IFERROR(INDEX(C項目!$E:$E,MATCH(アイテムビューア!$E369,C項目!$D:$D,0)),"")</f>
        <v/>
      </c>
      <c r="G369" t="str">
        <f>アイテム項目!$E364</f>
        <v>I-00338</v>
      </c>
      <c r="H369" t="str">
        <f>アイテム項目!$F364</f>
        <v>黒 シャープペン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 t="str">
        <f>アイテム項目!$A365</f>
        <v>T-0205</v>
      </c>
      <c r="F370" t="str">
        <f>IFERROR(INDEX(C項目!$E:$E,MATCH(アイテムビューア!$E370,C項目!$D:$D,0)),"")</f>
        <v/>
      </c>
      <c r="G370" t="str">
        <f>アイテム項目!$E365</f>
        <v>I-00339</v>
      </c>
      <c r="H370" t="str">
        <f>アイテム項目!$F365</f>
        <v>ビニール袋入りアイテム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 t="str">
        <f>アイテム項目!$A366</f>
        <v>T-0205</v>
      </c>
      <c r="F371" t="str">
        <f>IFERROR(INDEX(C項目!$E:$E,MATCH(アイテムビューア!$E371,C項目!$D:$D,0)),"")</f>
        <v/>
      </c>
      <c r="G371" t="str">
        <f>アイテム項目!$E366</f>
        <v>I-00340</v>
      </c>
      <c r="H371" t="str">
        <f>アイテム項目!$F366</f>
        <v>カラフル インデックス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2026-07-10T14:35:54Z</dcterms:modified>
</cp:coreProperties>
</file>